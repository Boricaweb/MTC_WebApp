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เวิร์กบุ๊กนี้" hidePivotFieldList="1"/>
  <mc:AlternateContent xmlns:mc="http://schemas.openxmlformats.org/markup-compatibility/2006">
    <mc:Choice Requires="x15">
      <x15ac:absPath xmlns:x15ac="http://schemas.microsoft.com/office/spreadsheetml/2010/11/ac" url="https://d.docs.live.net/ae559025377cd784/เอกสาร/MTC_works/Maintanace_Team/อัปเดตตารางงานซ่อมรายเดือน2/"/>
    </mc:Choice>
  </mc:AlternateContent>
  <xr:revisionPtr revIDLastSave="31" documentId="13_ncr:1_{318FDC27-A0D1-4D83-8F87-4B05503BF919}" xr6:coauthVersionLast="47" xr6:coauthVersionMax="47" xr10:uidLastSave="{33886979-CCE8-4E50-9073-41A43A205D0A}"/>
  <bookViews>
    <workbookView xWindow="-38520" yWindow="270" windowWidth="38640" windowHeight="21840" activeTab="2" xr2:uid="{00000000-000D-0000-FFFF-FFFF00000000}"/>
  </bookViews>
  <sheets>
    <sheet name="📈อัปเดตงานรายเดือน" sheetId="51" r:id="rId1"/>
    <sheet name="📊วิเคราะห์งานรายเดือน" sheetId="49" r:id="rId2"/>
    <sheet name="🔧รายการงานซ่อมทั้งหมด" sheetId="47" r:id="rId3"/>
  </sheets>
  <definedNames>
    <definedName name="_xleta.COUN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2" i="49" l="1"/>
  <c r="N171" i="49"/>
  <c r="N170" i="49"/>
  <c r="N169" i="49"/>
  <c r="N168" i="49"/>
  <c r="N167" i="49"/>
  <c r="N166" i="49"/>
  <c r="N165" i="49"/>
  <c r="N164" i="49"/>
  <c r="N163" i="49"/>
  <c r="N162" i="49"/>
  <c r="N161" i="49"/>
  <c r="O172" i="49"/>
  <c r="M172" i="49"/>
  <c r="L172" i="49"/>
  <c r="K172" i="49"/>
  <c r="J172" i="49"/>
  <c r="I172" i="49"/>
  <c r="H172" i="49"/>
  <c r="G172" i="49"/>
  <c r="F172" i="49"/>
  <c r="D172" i="49"/>
  <c r="O171" i="49"/>
  <c r="M171" i="49"/>
  <c r="L171" i="49"/>
  <c r="K171" i="49"/>
  <c r="J171" i="49"/>
  <c r="I171" i="49"/>
  <c r="H171" i="49"/>
  <c r="G171" i="49"/>
  <c r="F171" i="49"/>
  <c r="D171" i="49"/>
  <c r="O170" i="49"/>
  <c r="M170" i="49"/>
  <c r="L170" i="49"/>
  <c r="K170" i="49"/>
  <c r="J170" i="49"/>
  <c r="I170" i="49"/>
  <c r="H170" i="49"/>
  <c r="G170" i="49"/>
  <c r="F170" i="49"/>
  <c r="D170" i="49"/>
  <c r="O169" i="49"/>
  <c r="M169" i="49"/>
  <c r="L169" i="49"/>
  <c r="K169" i="49"/>
  <c r="J169" i="49"/>
  <c r="I169" i="49"/>
  <c r="H169" i="49"/>
  <c r="G169" i="49"/>
  <c r="F169" i="49"/>
  <c r="D169" i="49"/>
  <c r="O168" i="49"/>
  <c r="M168" i="49"/>
  <c r="L168" i="49"/>
  <c r="K168" i="49"/>
  <c r="J168" i="49"/>
  <c r="I168" i="49"/>
  <c r="H168" i="49"/>
  <c r="G168" i="49"/>
  <c r="F168" i="49"/>
  <c r="D168" i="49"/>
  <c r="O167" i="49"/>
  <c r="M167" i="49"/>
  <c r="L167" i="49"/>
  <c r="K167" i="49"/>
  <c r="J167" i="49"/>
  <c r="I167" i="49"/>
  <c r="H167" i="49"/>
  <c r="G167" i="49"/>
  <c r="F167" i="49"/>
  <c r="D167" i="49"/>
  <c r="O166" i="49"/>
  <c r="M166" i="49"/>
  <c r="L166" i="49"/>
  <c r="K166" i="49"/>
  <c r="J166" i="49"/>
  <c r="I166" i="49"/>
  <c r="H166" i="49"/>
  <c r="G166" i="49"/>
  <c r="F166" i="49"/>
  <c r="D166" i="49"/>
  <c r="O165" i="49"/>
  <c r="M165" i="49"/>
  <c r="L165" i="49"/>
  <c r="K165" i="49"/>
  <c r="J165" i="49"/>
  <c r="I165" i="49"/>
  <c r="H165" i="49"/>
  <c r="G165" i="49"/>
  <c r="F165" i="49"/>
  <c r="D165" i="49"/>
  <c r="O164" i="49"/>
  <c r="M164" i="49"/>
  <c r="L164" i="49"/>
  <c r="K164" i="49"/>
  <c r="J164" i="49"/>
  <c r="I164" i="49"/>
  <c r="H164" i="49"/>
  <c r="G164" i="49"/>
  <c r="F164" i="49"/>
  <c r="D164" i="49"/>
  <c r="O163" i="49"/>
  <c r="M163" i="49"/>
  <c r="L163" i="49"/>
  <c r="K163" i="49"/>
  <c r="J163" i="49"/>
  <c r="I163" i="49"/>
  <c r="H163" i="49"/>
  <c r="G163" i="49"/>
  <c r="F163" i="49"/>
  <c r="D163" i="49"/>
  <c r="O162" i="49"/>
  <c r="M162" i="49"/>
  <c r="L162" i="49"/>
  <c r="K162" i="49"/>
  <c r="J162" i="49"/>
  <c r="I162" i="49"/>
  <c r="H162" i="49"/>
  <c r="G162" i="49"/>
  <c r="F162" i="49"/>
  <c r="D162" i="49"/>
  <c r="O161" i="49"/>
  <c r="M161" i="49"/>
  <c r="L161" i="49"/>
  <c r="K161" i="49"/>
  <c r="J161" i="49"/>
  <c r="I161" i="49"/>
  <c r="H161" i="49"/>
  <c r="G161" i="49"/>
  <c r="F161" i="49"/>
  <c r="D161" i="49"/>
  <c r="O160" i="49"/>
  <c r="N160" i="49"/>
  <c r="M160" i="49"/>
  <c r="L160" i="49"/>
  <c r="K160" i="49"/>
  <c r="J160" i="49"/>
  <c r="I160" i="49"/>
  <c r="H160" i="49"/>
  <c r="G160" i="49"/>
  <c r="F160" i="49"/>
  <c r="D160" i="49"/>
  <c r="O159" i="49"/>
  <c r="O173" i="49" s="1"/>
  <c r="N159" i="49"/>
  <c r="N173" i="49" s="1"/>
  <c r="M159" i="49"/>
  <c r="L159" i="49"/>
  <c r="K159" i="49"/>
  <c r="K173" i="49" s="1"/>
  <c r="J159" i="49"/>
  <c r="I159" i="49"/>
  <c r="H159" i="49"/>
  <c r="G159" i="49"/>
  <c r="G173" i="49" s="1"/>
  <c r="F159" i="49"/>
  <c r="E137" i="51"/>
  <c r="E172" i="49"/>
  <c r="E171" i="49"/>
  <c r="E170" i="49"/>
  <c r="E169" i="49"/>
  <c r="E168" i="49"/>
  <c r="E167" i="49"/>
  <c r="E166" i="49"/>
  <c r="E165" i="49"/>
  <c r="E164" i="49"/>
  <c r="E163" i="49"/>
  <c r="E162" i="49"/>
  <c r="E161" i="49"/>
  <c r="E160" i="49"/>
  <c r="E159" i="49"/>
  <c r="E173" i="49" s="1"/>
  <c r="D194" i="49"/>
  <c r="D193" i="49"/>
  <c r="D192" i="49"/>
  <c r="D191" i="49"/>
  <c r="D190" i="49"/>
  <c r="D189" i="49"/>
  <c r="D188" i="49"/>
  <c r="D187" i="49"/>
  <c r="D186" i="49"/>
  <c r="D185" i="49"/>
  <c r="D184" i="49"/>
  <c r="D183" i="49"/>
  <c r="D182" i="49"/>
  <c r="D181" i="49"/>
  <c r="B182" i="49"/>
  <c r="B181" i="49"/>
  <c r="B183" i="49"/>
  <c r="B184" i="49"/>
  <c r="B185" i="49"/>
  <c r="B194" i="49"/>
  <c r="B193" i="49"/>
  <c r="B192" i="49"/>
  <c r="B191" i="49"/>
  <c r="B190" i="49"/>
  <c r="B189" i="49"/>
  <c r="B188" i="49"/>
  <c r="B187" i="49"/>
  <c r="B186" i="49"/>
  <c r="D159" i="49"/>
  <c r="D173" i="49" s="1"/>
  <c r="B175" i="49"/>
  <c r="B177" i="49"/>
  <c r="B176" i="49"/>
  <c r="B174" i="49"/>
  <c r="B172" i="49"/>
  <c r="B171" i="49"/>
  <c r="B170" i="49"/>
  <c r="B169" i="49"/>
  <c r="B168" i="49"/>
  <c r="B167" i="49"/>
  <c r="B166" i="49"/>
  <c r="B165" i="49"/>
  <c r="B164" i="49"/>
  <c r="B163" i="49"/>
  <c r="B162" i="49"/>
  <c r="B161" i="49"/>
  <c r="B160" i="49"/>
  <c r="B159" i="49"/>
  <c r="H173" i="49" l="1"/>
  <c r="L173" i="49"/>
  <c r="M173" i="49"/>
  <c r="I173" i="49"/>
  <c r="J173" i="49"/>
  <c r="F173" i="49"/>
  <c r="F140" i="51"/>
  <c r="F139" i="51"/>
  <c r="E140" i="51"/>
  <c r="E139" i="51"/>
  <c r="F138" i="51"/>
  <c r="E138" i="51"/>
  <c r="F137" i="51"/>
  <c r="B265" i="49"/>
  <c r="B264" i="49"/>
  <c r="B263" i="49"/>
  <c r="B262" i="49"/>
  <c r="P260" i="49"/>
  <c r="N260" i="49"/>
  <c r="M260" i="49"/>
  <c r="L260" i="49"/>
  <c r="K260" i="49"/>
  <c r="J260" i="49"/>
  <c r="I260" i="49"/>
  <c r="H260" i="49"/>
  <c r="G260" i="49"/>
  <c r="F260" i="49"/>
  <c r="E260" i="49"/>
  <c r="D260" i="49"/>
  <c r="B260" i="49"/>
  <c r="P259" i="49"/>
  <c r="N259" i="49"/>
  <c r="M259" i="49"/>
  <c r="L259" i="49"/>
  <c r="K259" i="49"/>
  <c r="J259" i="49"/>
  <c r="I259" i="49"/>
  <c r="H259" i="49"/>
  <c r="G259" i="49"/>
  <c r="F259" i="49"/>
  <c r="E259" i="49"/>
  <c r="D259" i="49"/>
  <c r="B259" i="49"/>
  <c r="P258" i="49"/>
  <c r="N258" i="49"/>
  <c r="M258" i="49"/>
  <c r="L258" i="49"/>
  <c r="K258" i="49"/>
  <c r="J258" i="49"/>
  <c r="I258" i="49"/>
  <c r="H258" i="49"/>
  <c r="G258" i="49"/>
  <c r="F258" i="49"/>
  <c r="E258" i="49"/>
  <c r="D258" i="49"/>
  <c r="B258" i="49"/>
  <c r="P257" i="49"/>
  <c r="N257" i="49"/>
  <c r="M257" i="49"/>
  <c r="L257" i="49"/>
  <c r="K257" i="49"/>
  <c r="J257" i="49"/>
  <c r="I257" i="49"/>
  <c r="H257" i="49"/>
  <c r="G257" i="49"/>
  <c r="F257" i="49"/>
  <c r="E257" i="49"/>
  <c r="D257" i="49"/>
  <c r="B257" i="49"/>
  <c r="P256" i="49"/>
  <c r="N256" i="49"/>
  <c r="M256" i="49"/>
  <c r="L256" i="49"/>
  <c r="K256" i="49"/>
  <c r="J256" i="49"/>
  <c r="I256" i="49"/>
  <c r="H256" i="49"/>
  <c r="G256" i="49"/>
  <c r="F256" i="49"/>
  <c r="E256" i="49"/>
  <c r="D256" i="49"/>
  <c r="B256" i="49"/>
  <c r="P255" i="49"/>
  <c r="N255" i="49"/>
  <c r="M255" i="49"/>
  <c r="L255" i="49"/>
  <c r="K255" i="49"/>
  <c r="J255" i="49"/>
  <c r="I255" i="49"/>
  <c r="H255" i="49"/>
  <c r="G255" i="49"/>
  <c r="F255" i="49"/>
  <c r="E255" i="49"/>
  <c r="D255" i="49"/>
  <c r="B255" i="49"/>
  <c r="P254" i="49"/>
  <c r="N254" i="49"/>
  <c r="M254" i="49"/>
  <c r="L254" i="49"/>
  <c r="K254" i="49"/>
  <c r="J254" i="49"/>
  <c r="I254" i="49"/>
  <c r="H254" i="49"/>
  <c r="G254" i="49"/>
  <c r="F254" i="49"/>
  <c r="E254" i="49"/>
  <c r="D254" i="49"/>
  <c r="B254" i="49"/>
  <c r="P253" i="49"/>
  <c r="N253" i="49"/>
  <c r="M253" i="49"/>
  <c r="L253" i="49"/>
  <c r="K253" i="49"/>
  <c r="J253" i="49"/>
  <c r="I253" i="49"/>
  <c r="H253" i="49"/>
  <c r="G253" i="49"/>
  <c r="F253" i="49"/>
  <c r="E253" i="49"/>
  <c r="D253" i="49"/>
  <c r="B253" i="49"/>
  <c r="P252" i="49"/>
  <c r="N252" i="49"/>
  <c r="M252" i="49"/>
  <c r="L252" i="49"/>
  <c r="K252" i="49"/>
  <c r="J252" i="49"/>
  <c r="I252" i="49"/>
  <c r="H252" i="49"/>
  <c r="G252" i="49"/>
  <c r="F252" i="49"/>
  <c r="E252" i="49"/>
  <c r="D252" i="49"/>
  <c r="B252" i="49"/>
  <c r="P251" i="49"/>
  <c r="N251" i="49"/>
  <c r="M251" i="49"/>
  <c r="L251" i="49"/>
  <c r="K251" i="49"/>
  <c r="J251" i="49"/>
  <c r="I251" i="49"/>
  <c r="H251" i="49"/>
  <c r="G251" i="49"/>
  <c r="F251" i="49"/>
  <c r="E251" i="49"/>
  <c r="D251" i="49"/>
  <c r="B251" i="49"/>
  <c r="P250" i="49"/>
  <c r="N250" i="49"/>
  <c r="M250" i="49"/>
  <c r="L250" i="49"/>
  <c r="K250" i="49"/>
  <c r="J250" i="49"/>
  <c r="I250" i="49"/>
  <c r="H250" i="49"/>
  <c r="G250" i="49"/>
  <c r="F250" i="49"/>
  <c r="E250" i="49"/>
  <c r="D250" i="49"/>
  <c r="B250" i="49"/>
  <c r="P249" i="49"/>
  <c r="N249" i="49"/>
  <c r="M249" i="49"/>
  <c r="L249" i="49"/>
  <c r="K249" i="49"/>
  <c r="J249" i="49"/>
  <c r="I249" i="49"/>
  <c r="H249" i="49"/>
  <c r="G249" i="49"/>
  <c r="F249" i="49"/>
  <c r="E249" i="49"/>
  <c r="D249" i="49"/>
  <c r="B249" i="49"/>
  <c r="P248" i="49"/>
  <c r="N248" i="49"/>
  <c r="M248" i="49"/>
  <c r="L248" i="49"/>
  <c r="K248" i="49"/>
  <c r="J248" i="49"/>
  <c r="I248" i="49"/>
  <c r="H248" i="49"/>
  <c r="G248" i="49"/>
  <c r="F248" i="49"/>
  <c r="E248" i="49"/>
  <c r="D248" i="49"/>
  <c r="B248" i="49"/>
  <c r="P247" i="49"/>
  <c r="O247" i="49"/>
  <c r="O261" i="49" s="1"/>
  <c r="N247" i="49"/>
  <c r="M247" i="49"/>
  <c r="L247" i="49"/>
  <c r="K247" i="49"/>
  <c r="J247" i="49"/>
  <c r="I247" i="49"/>
  <c r="H247" i="49"/>
  <c r="G247" i="49"/>
  <c r="F247" i="49"/>
  <c r="E247" i="49"/>
  <c r="D247" i="49"/>
  <c r="B247" i="49"/>
  <c r="B243" i="49"/>
  <c r="B242" i="49"/>
  <c r="B241" i="49"/>
  <c r="B240" i="49"/>
  <c r="P238" i="49"/>
  <c r="N238" i="49"/>
  <c r="M238" i="49"/>
  <c r="L238" i="49"/>
  <c r="K238" i="49"/>
  <c r="J238" i="49"/>
  <c r="I238" i="49"/>
  <c r="H238" i="49"/>
  <c r="G238" i="49"/>
  <c r="F238" i="49"/>
  <c r="E238" i="49"/>
  <c r="D238" i="49"/>
  <c r="B238" i="49"/>
  <c r="P237" i="49"/>
  <c r="N237" i="49"/>
  <c r="M237" i="49"/>
  <c r="L237" i="49"/>
  <c r="K237" i="49"/>
  <c r="J237" i="49"/>
  <c r="I237" i="49"/>
  <c r="H237" i="49"/>
  <c r="G237" i="49"/>
  <c r="F237" i="49"/>
  <c r="E237" i="49"/>
  <c r="D237" i="49"/>
  <c r="B237" i="49"/>
  <c r="P236" i="49"/>
  <c r="N236" i="49"/>
  <c r="M236" i="49"/>
  <c r="L236" i="49"/>
  <c r="K236" i="49"/>
  <c r="J236" i="49"/>
  <c r="I236" i="49"/>
  <c r="H236" i="49"/>
  <c r="G236" i="49"/>
  <c r="F236" i="49"/>
  <c r="E236" i="49"/>
  <c r="D236" i="49"/>
  <c r="B236" i="49"/>
  <c r="P235" i="49"/>
  <c r="N235" i="49"/>
  <c r="M235" i="49"/>
  <c r="L235" i="49"/>
  <c r="K235" i="49"/>
  <c r="J235" i="49"/>
  <c r="I235" i="49"/>
  <c r="H235" i="49"/>
  <c r="G235" i="49"/>
  <c r="F235" i="49"/>
  <c r="E235" i="49"/>
  <c r="D235" i="49"/>
  <c r="B235" i="49"/>
  <c r="P234" i="49"/>
  <c r="N234" i="49"/>
  <c r="M234" i="49"/>
  <c r="L234" i="49"/>
  <c r="K234" i="49"/>
  <c r="J234" i="49"/>
  <c r="I234" i="49"/>
  <c r="H234" i="49"/>
  <c r="G234" i="49"/>
  <c r="F234" i="49"/>
  <c r="E234" i="49"/>
  <c r="D234" i="49"/>
  <c r="B234" i="49"/>
  <c r="P233" i="49"/>
  <c r="N233" i="49"/>
  <c r="M233" i="49"/>
  <c r="L233" i="49"/>
  <c r="K233" i="49"/>
  <c r="J233" i="49"/>
  <c r="I233" i="49"/>
  <c r="H233" i="49"/>
  <c r="G233" i="49"/>
  <c r="F233" i="49"/>
  <c r="E233" i="49"/>
  <c r="D233" i="49"/>
  <c r="B233" i="49"/>
  <c r="P232" i="49"/>
  <c r="N232" i="49"/>
  <c r="M232" i="49"/>
  <c r="L232" i="49"/>
  <c r="K232" i="49"/>
  <c r="J232" i="49"/>
  <c r="I232" i="49"/>
  <c r="H232" i="49"/>
  <c r="G232" i="49"/>
  <c r="F232" i="49"/>
  <c r="E232" i="49"/>
  <c r="D232" i="49"/>
  <c r="B232" i="49"/>
  <c r="P231" i="49"/>
  <c r="N231" i="49"/>
  <c r="M231" i="49"/>
  <c r="L231" i="49"/>
  <c r="K231" i="49"/>
  <c r="J231" i="49"/>
  <c r="I231" i="49"/>
  <c r="H231" i="49"/>
  <c r="G231" i="49"/>
  <c r="F231" i="49"/>
  <c r="E231" i="49"/>
  <c r="D231" i="49"/>
  <c r="B231" i="49"/>
  <c r="P230" i="49"/>
  <c r="N230" i="49"/>
  <c r="M230" i="49"/>
  <c r="L230" i="49"/>
  <c r="K230" i="49"/>
  <c r="J230" i="49"/>
  <c r="I230" i="49"/>
  <c r="H230" i="49"/>
  <c r="G230" i="49"/>
  <c r="F230" i="49"/>
  <c r="E230" i="49"/>
  <c r="D230" i="49"/>
  <c r="B230" i="49"/>
  <c r="P229" i="49"/>
  <c r="N229" i="49"/>
  <c r="M229" i="49"/>
  <c r="L229" i="49"/>
  <c r="K229" i="49"/>
  <c r="J229" i="49"/>
  <c r="I229" i="49"/>
  <c r="H229" i="49"/>
  <c r="G229" i="49"/>
  <c r="F229" i="49"/>
  <c r="E229" i="49"/>
  <c r="D229" i="49"/>
  <c r="B229" i="49"/>
  <c r="P228" i="49"/>
  <c r="N228" i="49"/>
  <c r="M228" i="49"/>
  <c r="L228" i="49"/>
  <c r="K228" i="49"/>
  <c r="J228" i="49"/>
  <c r="I228" i="49"/>
  <c r="H228" i="49"/>
  <c r="G228" i="49"/>
  <c r="F228" i="49"/>
  <c r="E228" i="49"/>
  <c r="D228" i="49"/>
  <c r="B228" i="49"/>
  <c r="P227" i="49"/>
  <c r="N227" i="49"/>
  <c r="M227" i="49"/>
  <c r="L227" i="49"/>
  <c r="K227" i="49"/>
  <c r="J227" i="49"/>
  <c r="I227" i="49"/>
  <c r="H227" i="49"/>
  <c r="G227" i="49"/>
  <c r="F227" i="49"/>
  <c r="E227" i="49"/>
  <c r="D227" i="49"/>
  <c r="B227" i="49"/>
  <c r="P226" i="49"/>
  <c r="N226" i="49"/>
  <c r="M226" i="49"/>
  <c r="L226" i="49"/>
  <c r="K226" i="49"/>
  <c r="J226" i="49"/>
  <c r="I226" i="49"/>
  <c r="H226" i="49"/>
  <c r="G226" i="49"/>
  <c r="F226" i="49"/>
  <c r="E226" i="49"/>
  <c r="D226" i="49"/>
  <c r="B226" i="49"/>
  <c r="P225" i="49"/>
  <c r="O225" i="49"/>
  <c r="O239" i="49" s="1"/>
  <c r="N225" i="49"/>
  <c r="M225" i="49"/>
  <c r="L225" i="49"/>
  <c r="K225" i="49"/>
  <c r="J225" i="49"/>
  <c r="I225" i="49"/>
  <c r="H225" i="49"/>
  <c r="G225" i="49"/>
  <c r="F225" i="49"/>
  <c r="E225" i="49"/>
  <c r="D225" i="49"/>
  <c r="B225" i="49"/>
  <c r="B221" i="49"/>
  <c r="B220" i="49"/>
  <c r="B219" i="49"/>
  <c r="B218" i="49"/>
  <c r="P216" i="49"/>
  <c r="N216" i="49"/>
  <c r="M216" i="49"/>
  <c r="L216" i="49"/>
  <c r="K216" i="49"/>
  <c r="J216" i="49"/>
  <c r="I216" i="49"/>
  <c r="H216" i="49"/>
  <c r="G216" i="49"/>
  <c r="F216" i="49"/>
  <c r="E216" i="49"/>
  <c r="D216" i="49"/>
  <c r="B216" i="49"/>
  <c r="P215" i="49"/>
  <c r="N215" i="49"/>
  <c r="M215" i="49"/>
  <c r="L215" i="49"/>
  <c r="K215" i="49"/>
  <c r="J215" i="49"/>
  <c r="I215" i="49"/>
  <c r="H215" i="49"/>
  <c r="G215" i="49"/>
  <c r="F215" i="49"/>
  <c r="E215" i="49"/>
  <c r="D215" i="49"/>
  <c r="B215" i="49"/>
  <c r="P214" i="49"/>
  <c r="N214" i="49"/>
  <c r="M214" i="49"/>
  <c r="L214" i="49"/>
  <c r="K214" i="49"/>
  <c r="J214" i="49"/>
  <c r="I214" i="49"/>
  <c r="H214" i="49"/>
  <c r="G214" i="49"/>
  <c r="F214" i="49"/>
  <c r="E214" i="49"/>
  <c r="D214" i="49"/>
  <c r="B214" i="49"/>
  <c r="P213" i="49"/>
  <c r="N213" i="49"/>
  <c r="M213" i="49"/>
  <c r="L213" i="49"/>
  <c r="K213" i="49"/>
  <c r="J213" i="49"/>
  <c r="I213" i="49"/>
  <c r="H213" i="49"/>
  <c r="G213" i="49"/>
  <c r="F213" i="49"/>
  <c r="E213" i="49"/>
  <c r="D213" i="49"/>
  <c r="B213" i="49"/>
  <c r="P212" i="49"/>
  <c r="N212" i="49"/>
  <c r="M212" i="49"/>
  <c r="L212" i="49"/>
  <c r="K212" i="49"/>
  <c r="J212" i="49"/>
  <c r="I212" i="49"/>
  <c r="H212" i="49"/>
  <c r="G212" i="49"/>
  <c r="F212" i="49"/>
  <c r="E212" i="49"/>
  <c r="D212" i="49"/>
  <c r="B212" i="49"/>
  <c r="P211" i="49"/>
  <c r="N211" i="49"/>
  <c r="M211" i="49"/>
  <c r="L211" i="49"/>
  <c r="K211" i="49"/>
  <c r="J211" i="49"/>
  <c r="I211" i="49"/>
  <c r="H211" i="49"/>
  <c r="G211" i="49"/>
  <c r="F211" i="49"/>
  <c r="E211" i="49"/>
  <c r="D211" i="49"/>
  <c r="B211" i="49"/>
  <c r="P210" i="49"/>
  <c r="N210" i="49"/>
  <c r="M210" i="49"/>
  <c r="L210" i="49"/>
  <c r="K210" i="49"/>
  <c r="J210" i="49"/>
  <c r="I210" i="49"/>
  <c r="H210" i="49"/>
  <c r="G210" i="49"/>
  <c r="F210" i="49"/>
  <c r="E210" i="49"/>
  <c r="D210" i="49"/>
  <c r="B210" i="49"/>
  <c r="P209" i="49"/>
  <c r="N209" i="49"/>
  <c r="M209" i="49"/>
  <c r="L209" i="49"/>
  <c r="K209" i="49"/>
  <c r="J209" i="49"/>
  <c r="I209" i="49"/>
  <c r="H209" i="49"/>
  <c r="G209" i="49"/>
  <c r="F209" i="49"/>
  <c r="E209" i="49"/>
  <c r="D209" i="49"/>
  <c r="B209" i="49"/>
  <c r="P208" i="49"/>
  <c r="N208" i="49"/>
  <c r="M208" i="49"/>
  <c r="L208" i="49"/>
  <c r="K208" i="49"/>
  <c r="J208" i="49"/>
  <c r="I208" i="49"/>
  <c r="H208" i="49"/>
  <c r="G208" i="49"/>
  <c r="F208" i="49"/>
  <c r="E208" i="49"/>
  <c r="D208" i="49"/>
  <c r="B208" i="49"/>
  <c r="P207" i="49"/>
  <c r="N207" i="49"/>
  <c r="M207" i="49"/>
  <c r="L207" i="49"/>
  <c r="K207" i="49"/>
  <c r="J207" i="49"/>
  <c r="I207" i="49"/>
  <c r="H207" i="49"/>
  <c r="G207" i="49"/>
  <c r="F207" i="49"/>
  <c r="E207" i="49"/>
  <c r="D207" i="49"/>
  <c r="B207" i="49"/>
  <c r="P206" i="49"/>
  <c r="N206" i="49"/>
  <c r="M206" i="49"/>
  <c r="L206" i="49"/>
  <c r="K206" i="49"/>
  <c r="J206" i="49"/>
  <c r="I206" i="49"/>
  <c r="H206" i="49"/>
  <c r="G206" i="49"/>
  <c r="F206" i="49"/>
  <c r="E206" i="49"/>
  <c r="D206" i="49"/>
  <c r="B206" i="49"/>
  <c r="P205" i="49"/>
  <c r="N205" i="49"/>
  <c r="M205" i="49"/>
  <c r="L205" i="49"/>
  <c r="K205" i="49"/>
  <c r="J205" i="49"/>
  <c r="I205" i="49"/>
  <c r="H205" i="49"/>
  <c r="G205" i="49"/>
  <c r="F205" i="49"/>
  <c r="E205" i="49"/>
  <c r="D205" i="49"/>
  <c r="B205" i="49"/>
  <c r="P204" i="49"/>
  <c r="N204" i="49"/>
  <c r="M204" i="49"/>
  <c r="L204" i="49"/>
  <c r="K204" i="49"/>
  <c r="J204" i="49"/>
  <c r="I204" i="49"/>
  <c r="H204" i="49"/>
  <c r="G204" i="49"/>
  <c r="F204" i="49"/>
  <c r="E204" i="49"/>
  <c r="D204" i="49"/>
  <c r="B204" i="49"/>
  <c r="P203" i="49"/>
  <c r="O203" i="49"/>
  <c r="O217" i="49" s="1"/>
  <c r="N203" i="49"/>
  <c r="M203" i="49"/>
  <c r="L203" i="49"/>
  <c r="K203" i="49"/>
  <c r="J203" i="49"/>
  <c r="I203" i="49"/>
  <c r="H203" i="49"/>
  <c r="G203" i="49"/>
  <c r="F203" i="49"/>
  <c r="E203" i="49"/>
  <c r="D203" i="49"/>
  <c r="B203" i="49"/>
  <c r="B199" i="49"/>
  <c r="B198" i="49"/>
  <c r="B197" i="49"/>
  <c r="B196" i="49"/>
  <c r="P194" i="49"/>
  <c r="N194" i="49"/>
  <c r="M194" i="49"/>
  <c r="L194" i="49"/>
  <c r="K194" i="49"/>
  <c r="J194" i="49"/>
  <c r="I194" i="49"/>
  <c r="H194" i="49"/>
  <c r="G194" i="49"/>
  <c r="F194" i="49"/>
  <c r="E194" i="49"/>
  <c r="P193" i="49"/>
  <c r="N193" i="49"/>
  <c r="M193" i="49"/>
  <c r="L193" i="49"/>
  <c r="K193" i="49"/>
  <c r="J193" i="49"/>
  <c r="I193" i="49"/>
  <c r="H193" i="49"/>
  <c r="G193" i="49"/>
  <c r="F193" i="49"/>
  <c r="E193" i="49"/>
  <c r="P192" i="49"/>
  <c r="N192" i="49"/>
  <c r="M192" i="49"/>
  <c r="L192" i="49"/>
  <c r="K192" i="49"/>
  <c r="J192" i="49"/>
  <c r="I192" i="49"/>
  <c r="H192" i="49"/>
  <c r="G192" i="49"/>
  <c r="F192" i="49"/>
  <c r="E192" i="49"/>
  <c r="P191" i="49"/>
  <c r="N191" i="49"/>
  <c r="M191" i="49"/>
  <c r="L191" i="49"/>
  <c r="K191" i="49"/>
  <c r="J191" i="49"/>
  <c r="I191" i="49"/>
  <c r="H191" i="49"/>
  <c r="G191" i="49"/>
  <c r="F191" i="49"/>
  <c r="E191" i="49"/>
  <c r="P190" i="49"/>
  <c r="N190" i="49"/>
  <c r="M190" i="49"/>
  <c r="L190" i="49"/>
  <c r="K190" i="49"/>
  <c r="J190" i="49"/>
  <c r="I190" i="49"/>
  <c r="H190" i="49"/>
  <c r="G190" i="49"/>
  <c r="F190" i="49"/>
  <c r="E190" i="49"/>
  <c r="P189" i="49"/>
  <c r="N189" i="49"/>
  <c r="M189" i="49"/>
  <c r="L189" i="49"/>
  <c r="K189" i="49"/>
  <c r="J189" i="49"/>
  <c r="I189" i="49"/>
  <c r="H189" i="49"/>
  <c r="G189" i="49"/>
  <c r="F189" i="49"/>
  <c r="E189" i="49"/>
  <c r="P188" i="49"/>
  <c r="N188" i="49"/>
  <c r="M188" i="49"/>
  <c r="L188" i="49"/>
  <c r="K188" i="49"/>
  <c r="J188" i="49"/>
  <c r="I188" i="49"/>
  <c r="H188" i="49"/>
  <c r="G188" i="49"/>
  <c r="F188" i="49"/>
  <c r="E188" i="49"/>
  <c r="P187" i="49"/>
  <c r="N187" i="49"/>
  <c r="M187" i="49"/>
  <c r="L187" i="49"/>
  <c r="K187" i="49"/>
  <c r="J187" i="49"/>
  <c r="I187" i="49"/>
  <c r="H187" i="49"/>
  <c r="G187" i="49"/>
  <c r="F187" i="49"/>
  <c r="E187" i="49"/>
  <c r="P186" i="49"/>
  <c r="N186" i="49"/>
  <c r="M186" i="49"/>
  <c r="L186" i="49"/>
  <c r="K186" i="49"/>
  <c r="J186" i="49"/>
  <c r="I186" i="49"/>
  <c r="H186" i="49"/>
  <c r="G186" i="49"/>
  <c r="F186" i="49"/>
  <c r="E186" i="49"/>
  <c r="P185" i="49"/>
  <c r="N185" i="49"/>
  <c r="M185" i="49"/>
  <c r="L185" i="49"/>
  <c r="K185" i="49"/>
  <c r="J185" i="49"/>
  <c r="I185" i="49"/>
  <c r="H185" i="49"/>
  <c r="G185" i="49"/>
  <c r="F185" i="49"/>
  <c r="E185" i="49"/>
  <c r="P184" i="49"/>
  <c r="N184" i="49"/>
  <c r="M184" i="49"/>
  <c r="L184" i="49"/>
  <c r="K184" i="49"/>
  <c r="J184" i="49"/>
  <c r="I184" i="49"/>
  <c r="H184" i="49"/>
  <c r="G184" i="49"/>
  <c r="F184" i="49"/>
  <c r="E184" i="49"/>
  <c r="P183" i="49"/>
  <c r="N183" i="49"/>
  <c r="M183" i="49"/>
  <c r="L183" i="49"/>
  <c r="K183" i="49"/>
  <c r="J183" i="49"/>
  <c r="I183" i="49"/>
  <c r="H183" i="49"/>
  <c r="G183" i="49"/>
  <c r="F183" i="49"/>
  <c r="E183" i="49"/>
  <c r="P182" i="49"/>
  <c r="N182" i="49"/>
  <c r="M182" i="49"/>
  <c r="L182" i="49"/>
  <c r="K182" i="49"/>
  <c r="J182" i="49"/>
  <c r="I182" i="49"/>
  <c r="H182" i="49"/>
  <c r="G182" i="49"/>
  <c r="F182" i="49"/>
  <c r="E182" i="49"/>
  <c r="P181" i="49"/>
  <c r="O181" i="49"/>
  <c r="O195" i="49" s="1"/>
  <c r="N181" i="49"/>
  <c r="M181" i="49"/>
  <c r="L181" i="49"/>
  <c r="K181" i="49"/>
  <c r="J181" i="49"/>
  <c r="I181" i="49"/>
  <c r="H181" i="49"/>
  <c r="G181" i="49"/>
  <c r="F181" i="49"/>
  <c r="E181" i="49"/>
  <c r="R173" i="49" l="1"/>
  <c r="F141" i="51"/>
  <c r="E141" i="51"/>
  <c r="B173" i="49"/>
  <c r="C163" i="49" s="1"/>
  <c r="C172" i="49"/>
  <c r="L195" i="49"/>
  <c r="H217" i="49"/>
  <c r="K261" i="49"/>
  <c r="F195" i="49"/>
  <c r="D195" i="49"/>
  <c r="K217" i="49"/>
  <c r="G261" i="49"/>
  <c r="G195" i="49"/>
  <c r="M239" i="49"/>
  <c r="H261" i="49"/>
  <c r="H195" i="49"/>
  <c r="J217" i="49"/>
  <c r="E239" i="49"/>
  <c r="P239" i="49"/>
  <c r="N239" i="49"/>
  <c r="I261" i="49"/>
  <c r="I195" i="49"/>
  <c r="F239" i="49"/>
  <c r="D239" i="49"/>
  <c r="J261" i="49"/>
  <c r="L217" i="49"/>
  <c r="G239" i="49"/>
  <c r="K195" i="49"/>
  <c r="N217" i="49"/>
  <c r="M217" i="49"/>
  <c r="H239" i="49"/>
  <c r="E217" i="49"/>
  <c r="B217" i="49"/>
  <c r="C207" i="49" s="1"/>
  <c r="P217" i="49"/>
  <c r="I239" i="49"/>
  <c r="J195" i="49"/>
  <c r="F217" i="49"/>
  <c r="J239" i="49"/>
  <c r="D217" i="49"/>
  <c r="G217" i="49"/>
  <c r="K239" i="49"/>
  <c r="L261" i="49"/>
  <c r="M261" i="49"/>
  <c r="N195" i="49"/>
  <c r="M195" i="49"/>
  <c r="I217" i="49"/>
  <c r="E261" i="49"/>
  <c r="P261" i="49"/>
  <c r="N261" i="49"/>
  <c r="E195" i="49"/>
  <c r="P195" i="49"/>
  <c r="C194" i="49"/>
  <c r="L239" i="49"/>
  <c r="F261" i="49"/>
  <c r="D261" i="49"/>
  <c r="B261" i="49"/>
  <c r="C255" i="49" s="1"/>
  <c r="B195" i="49"/>
  <c r="C182" i="49" s="1"/>
  <c r="B239" i="49"/>
  <c r="C231" i="49" s="1"/>
  <c r="C164" i="49" l="1"/>
  <c r="C160" i="49"/>
  <c r="C165" i="49"/>
  <c r="C170" i="49"/>
  <c r="C161" i="49"/>
  <c r="C166" i="49"/>
  <c r="C167" i="49"/>
  <c r="C169" i="49"/>
  <c r="C168" i="49"/>
  <c r="C162" i="49"/>
  <c r="C159" i="49"/>
  <c r="C171" i="49"/>
  <c r="C211" i="49"/>
  <c r="C205" i="49"/>
  <c r="C208" i="49"/>
  <c r="C206" i="49"/>
  <c r="C212" i="49"/>
  <c r="C214" i="49"/>
  <c r="C209" i="49"/>
  <c r="C203" i="49"/>
  <c r="C210" i="49"/>
  <c r="C215" i="49"/>
  <c r="C216" i="49"/>
  <c r="C249" i="49"/>
  <c r="C204" i="49"/>
  <c r="C235" i="49"/>
  <c r="C229" i="49"/>
  <c r="C227" i="49"/>
  <c r="C213" i="49"/>
  <c r="C189" i="49"/>
  <c r="C247" i="49"/>
  <c r="C188" i="49"/>
  <c r="C251" i="49"/>
  <c r="C259" i="49"/>
  <c r="C191" i="49"/>
  <c r="C257" i="49"/>
  <c r="C184" i="49"/>
  <c r="C250" i="49"/>
  <c r="C183" i="49"/>
  <c r="C233" i="49"/>
  <c r="C248" i="49"/>
  <c r="C254" i="49"/>
  <c r="C260" i="49"/>
  <c r="C258" i="49"/>
  <c r="C252" i="49"/>
  <c r="C232" i="49"/>
  <c r="C226" i="49"/>
  <c r="C237" i="49"/>
  <c r="C225" i="49"/>
  <c r="C238" i="49"/>
  <c r="C236" i="49"/>
  <c r="C230" i="49"/>
  <c r="C181" i="49"/>
  <c r="C192" i="49"/>
  <c r="C186" i="49"/>
  <c r="C228" i="49"/>
  <c r="C190" i="49"/>
  <c r="C187" i="49"/>
  <c r="C234" i="49"/>
  <c r="C256" i="49"/>
  <c r="C253" i="49"/>
  <c r="C185" i="49"/>
  <c r="C193" i="49"/>
  <c r="C173" i="49" l="1"/>
  <c r="C217" i="49"/>
  <c r="C261" i="49"/>
  <c r="C239" i="49"/>
  <c r="C195" i="49"/>
  <c r="B129" i="49" l="1"/>
  <c r="B108" i="49"/>
  <c r="B107" i="49"/>
  <c r="B86" i="49"/>
  <c r="B85" i="49"/>
  <c r="F134" i="51"/>
  <c r="F133" i="51"/>
  <c r="F132" i="51"/>
  <c r="F131" i="51"/>
  <c r="D114" i="49"/>
  <c r="E134" i="51"/>
  <c r="E133" i="51"/>
  <c r="E132" i="51"/>
  <c r="E131" i="51"/>
  <c r="E115" i="49"/>
  <c r="O61" i="49" l="1"/>
  <c r="M61" i="49"/>
  <c r="L61" i="49"/>
  <c r="K61" i="49"/>
  <c r="J61" i="49"/>
  <c r="I61" i="49"/>
  <c r="H61" i="49"/>
  <c r="G61" i="49"/>
  <c r="F61" i="49"/>
  <c r="F60" i="49"/>
  <c r="E61" i="49"/>
  <c r="D61" i="49"/>
  <c r="B61" i="49"/>
  <c r="B60" i="49"/>
  <c r="B59" i="49"/>
  <c r="B58" i="49"/>
  <c r="B57" i="49"/>
  <c r="B56" i="49"/>
  <c r="B55" i="49"/>
  <c r="B54" i="49"/>
  <c r="B154" i="49" l="1"/>
  <c r="B153" i="49"/>
  <c r="B152" i="49"/>
  <c r="B151" i="49"/>
  <c r="P149" i="49"/>
  <c r="P148" i="49"/>
  <c r="P147" i="49"/>
  <c r="P146" i="49"/>
  <c r="P145" i="49"/>
  <c r="P144" i="49"/>
  <c r="P143" i="49"/>
  <c r="P142" i="49"/>
  <c r="P141" i="49"/>
  <c r="P140" i="49"/>
  <c r="P139" i="49"/>
  <c r="P138" i="49"/>
  <c r="P137" i="49"/>
  <c r="P136" i="49"/>
  <c r="P127" i="49"/>
  <c r="P126" i="49"/>
  <c r="P125" i="49"/>
  <c r="P124" i="49"/>
  <c r="P123" i="49"/>
  <c r="P122" i="49"/>
  <c r="P121" i="49"/>
  <c r="P120" i="49"/>
  <c r="P119" i="49"/>
  <c r="P118" i="49"/>
  <c r="P117" i="49"/>
  <c r="P116" i="49"/>
  <c r="P115" i="49"/>
  <c r="P114" i="49"/>
  <c r="P105" i="49"/>
  <c r="P104" i="49"/>
  <c r="P103" i="49"/>
  <c r="P102" i="49"/>
  <c r="P101" i="49"/>
  <c r="P100" i="49"/>
  <c r="P99" i="49"/>
  <c r="P98" i="49"/>
  <c r="P97" i="49"/>
  <c r="P96" i="49"/>
  <c r="P95" i="49"/>
  <c r="P94" i="49"/>
  <c r="P93" i="49"/>
  <c r="P92" i="49"/>
  <c r="P83" i="49"/>
  <c r="P82" i="49"/>
  <c r="P81" i="49"/>
  <c r="P80" i="49"/>
  <c r="P79" i="49"/>
  <c r="P78" i="49"/>
  <c r="P77" i="49"/>
  <c r="P76" i="49"/>
  <c r="P75" i="49"/>
  <c r="P74" i="49"/>
  <c r="P73" i="49"/>
  <c r="P72" i="49"/>
  <c r="P71" i="49"/>
  <c r="P70" i="49"/>
  <c r="O60" i="49"/>
  <c r="O59" i="49"/>
  <c r="O58" i="49"/>
  <c r="O57" i="49"/>
  <c r="O56" i="49"/>
  <c r="O55" i="49"/>
  <c r="O54" i="49"/>
  <c r="O53" i="49"/>
  <c r="O52" i="49"/>
  <c r="O51" i="49"/>
  <c r="O50" i="49"/>
  <c r="O49" i="49"/>
  <c r="O48" i="49"/>
  <c r="F165" i="51"/>
  <c r="E165" i="51"/>
  <c r="F159" i="51"/>
  <c r="E159" i="51"/>
  <c r="F153" i="51"/>
  <c r="E153" i="51"/>
  <c r="F147" i="51"/>
  <c r="E147" i="51"/>
  <c r="F135" i="51"/>
  <c r="E135" i="51"/>
  <c r="F129" i="51"/>
  <c r="E129" i="51"/>
  <c r="N48" i="49"/>
  <c r="N62" i="49" s="1"/>
  <c r="N70" i="49"/>
  <c r="O136" i="49"/>
  <c r="O150" i="49" s="1"/>
  <c r="O114" i="49"/>
  <c r="O128" i="49" s="1"/>
  <c r="O92" i="49"/>
  <c r="O106" i="49" s="1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L60" i="49"/>
  <c r="L59" i="49"/>
  <c r="L58" i="49"/>
  <c r="L57" i="49"/>
  <c r="L56" i="49"/>
  <c r="L55" i="49"/>
  <c r="L54" i="49"/>
  <c r="L53" i="49"/>
  <c r="L52" i="49"/>
  <c r="L51" i="49"/>
  <c r="L50" i="49"/>
  <c r="L49" i="49"/>
  <c r="L48" i="49"/>
  <c r="K60" i="49"/>
  <c r="K59" i="49"/>
  <c r="K58" i="49"/>
  <c r="K57" i="49"/>
  <c r="K56" i="49"/>
  <c r="K55" i="49"/>
  <c r="K54" i="49"/>
  <c r="K53" i="49"/>
  <c r="K52" i="49"/>
  <c r="K51" i="49"/>
  <c r="K50" i="49"/>
  <c r="K49" i="49"/>
  <c r="K48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I60" i="49"/>
  <c r="I59" i="49"/>
  <c r="I58" i="49"/>
  <c r="I57" i="49"/>
  <c r="I56" i="49"/>
  <c r="I55" i="49"/>
  <c r="I54" i="49"/>
  <c r="I53" i="49"/>
  <c r="I52" i="49"/>
  <c r="I51" i="49"/>
  <c r="I50" i="49"/>
  <c r="I49" i="49"/>
  <c r="I48" i="49"/>
  <c r="H60" i="49"/>
  <c r="H59" i="49"/>
  <c r="H58" i="49"/>
  <c r="H57" i="49"/>
  <c r="H56" i="49"/>
  <c r="H55" i="49"/>
  <c r="H54" i="49"/>
  <c r="H53" i="49"/>
  <c r="H52" i="49"/>
  <c r="H51" i="49"/>
  <c r="H50" i="49"/>
  <c r="H49" i="49"/>
  <c r="H48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E60" i="49"/>
  <c r="E59" i="49"/>
  <c r="E58" i="49"/>
  <c r="E57" i="49"/>
  <c r="E56" i="49"/>
  <c r="E55" i="49"/>
  <c r="E54" i="49"/>
  <c r="E53" i="49"/>
  <c r="E52" i="49"/>
  <c r="E51" i="49"/>
  <c r="E50" i="49"/>
  <c r="E49" i="49"/>
  <c r="E48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B66" i="49"/>
  <c r="B65" i="49"/>
  <c r="B64" i="49"/>
  <c r="B63" i="49"/>
  <c r="C61" i="49" s="1"/>
  <c r="N149" i="49"/>
  <c r="M149" i="49"/>
  <c r="L149" i="49"/>
  <c r="K149" i="49"/>
  <c r="J149" i="49"/>
  <c r="I149" i="49"/>
  <c r="H149" i="49"/>
  <c r="G149" i="49"/>
  <c r="F149" i="49"/>
  <c r="E149" i="49"/>
  <c r="D149" i="49"/>
  <c r="B149" i="49"/>
  <c r="N148" i="49"/>
  <c r="M148" i="49"/>
  <c r="L148" i="49"/>
  <c r="K148" i="49"/>
  <c r="J148" i="49"/>
  <c r="I148" i="49"/>
  <c r="H148" i="49"/>
  <c r="G148" i="49"/>
  <c r="F148" i="49"/>
  <c r="E148" i="49"/>
  <c r="D148" i="49"/>
  <c r="B148" i="49"/>
  <c r="N147" i="49"/>
  <c r="M147" i="49"/>
  <c r="L147" i="49"/>
  <c r="K147" i="49"/>
  <c r="J147" i="49"/>
  <c r="I147" i="49"/>
  <c r="H147" i="49"/>
  <c r="G147" i="49"/>
  <c r="F147" i="49"/>
  <c r="E147" i="49"/>
  <c r="D147" i="49"/>
  <c r="B147" i="49"/>
  <c r="N146" i="49"/>
  <c r="M146" i="49"/>
  <c r="L146" i="49"/>
  <c r="K146" i="49"/>
  <c r="J146" i="49"/>
  <c r="I146" i="49"/>
  <c r="H146" i="49"/>
  <c r="G146" i="49"/>
  <c r="F146" i="49"/>
  <c r="E146" i="49"/>
  <c r="D146" i="49"/>
  <c r="B146" i="49"/>
  <c r="N145" i="49"/>
  <c r="M145" i="49"/>
  <c r="L145" i="49"/>
  <c r="K145" i="49"/>
  <c r="J145" i="49"/>
  <c r="I145" i="49"/>
  <c r="H145" i="49"/>
  <c r="G145" i="49"/>
  <c r="F145" i="49"/>
  <c r="E145" i="49"/>
  <c r="D145" i="49"/>
  <c r="B145" i="49"/>
  <c r="N144" i="49"/>
  <c r="M144" i="49"/>
  <c r="L144" i="49"/>
  <c r="K144" i="49"/>
  <c r="J144" i="49"/>
  <c r="I144" i="49"/>
  <c r="H144" i="49"/>
  <c r="G144" i="49"/>
  <c r="F144" i="49"/>
  <c r="E144" i="49"/>
  <c r="D144" i="49"/>
  <c r="B144" i="49"/>
  <c r="N143" i="49"/>
  <c r="M143" i="49"/>
  <c r="L143" i="49"/>
  <c r="K143" i="49"/>
  <c r="J143" i="49"/>
  <c r="I143" i="49"/>
  <c r="H143" i="49"/>
  <c r="G143" i="49"/>
  <c r="F143" i="49"/>
  <c r="E143" i="49"/>
  <c r="D143" i="49"/>
  <c r="B143" i="49"/>
  <c r="N142" i="49"/>
  <c r="M142" i="49"/>
  <c r="L142" i="49"/>
  <c r="K142" i="49"/>
  <c r="J142" i="49"/>
  <c r="I142" i="49"/>
  <c r="H142" i="49"/>
  <c r="G142" i="49"/>
  <c r="F142" i="49"/>
  <c r="E142" i="49"/>
  <c r="D142" i="49"/>
  <c r="B142" i="49"/>
  <c r="N141" i="49"/>
  <c r="M141" i="49"/>
  <c r="L141" i="49"/>
  <c r="K141" i="49"/>
  <c r="J141" i="49"/>
  <c r="I141" i="49"/>
  <c r="H141" i="49"/>
  <c r="G141" i="49"/>
  <c r="F141" i="49"/>
  <c r="E141" i="49"/>
  <c r="D141" i="49"/>
  <c r="B141" i="49"/>
  <c r="N140" i="49"/>
  <c r="M140" i="49"/>
  <c r="L140" i="49"/>
  <c r="K140" i="49"/>
  <c r="J140" i="49"/>
  <c r="I140" i="49"/>
  <c r="H140" i="49"/>
  <c r="G140" i="49"/>
  <c r="F140" i="49"/>
  <c r="E140" i="49"/>
  <c r="D140" i="49"/>
  <c r="B140" i="49"/>
  <c r="N139" i="49"/>
  <c r="M139" i="49"/>
  <c r="L139" i="49"/>
  <c r="K139" i="49"/>
  <c r="J139" i="49"/>
  <c r="I139" i="49"/>
  <c r="H139" i="49"/>
  <c r="G139" i="49"/>
  <c r="F139" i="49"/>
  <c r="E139" i="49"/>
  <c r="D139" i="49"/>
  <c r="B139" i="49"/>
  <c r="N138" i="49"/>
  <c r="M138" i="49"/>
  <c r="L138" i="49"/>
  <c r="K138" i="49"/>
  <c r="J138" i="49"/>
  <c r="I138" i="49"/>
  <c r="H138" i="49"/>
  <c r="G138" i="49"/>
  <c r="F138" i="49"/>
  <c r="E138" i="49"/>
  <c r="D138" i="49"/>
  <c r="B138" i="49"/>
  <c r="N137" i="49"/>
  <c r="M137" i="49"/>
  <c r="L137" i="49"/>
  <c r="K137" i="49"/>
  <c r="J137" i="49"/>
  <c r="I137" i="49"/>
  <c r="H137" i="49"/>
  <c r="G137" i="49"/>
  <c r="F137" i="49"/>
  <c r="E137" i="49"/>
  <c r="D137" i="49"/>
  <c r="B137" i="49"/>
  <c r="N136" i="49"/>
  <c r="M136" i="49"/>
  <c r="L136" i="49"/>
  <c r="K136" i="49"/>
  <c r="J136" i="49"/>
  <c r="I136" i="49"/>
  <c r="H136" i="49"/>
  <c r="G136" i="49"/>
  <c r="F136" i="49"/>
  <c r="E136" i="49"/>
  <c r="D136" i="49"/>
  <c r="B136" i="49"/>
  <c r="B132" i="49"/>
  <c r="B131" i="49"/>
  <c r="B130" i="49"/>
  <c r="N127" i="49"/>
  <c r="M127" i="49"/>
  <c r="L127" i="49"/>
  <c r="K127" i="49"/>
  <c r="J127" i="49"/>
  <c r="I127" i="49"/>
  <c r="H127" i="49"/>
  <c r="G127" i="49"/>
  <c r="F127" i="49"/>
  <c r="E127" i="49"/>
  <c r="D127" i="49"/>
  <c r="B127" i="49"/>
  <c r="N126" i="49"/>
  <c r="M126" i="49"/>
  <c r="L126" i="49"/>
  <c r="K126" i="49"/>
  <c r="J126" i="49"/>
  <c r="I126" i="49"/>
  <c r="H126" i="49"/>
  <c r="G126" i="49"/>
  <c r="F126" i="49"/>
  <c r="E126" i="49"/>
  <c r="D126" i="49"/>
  <c r="B126" i="49"/>
  <c r="N125" i="49"/>
  <c r="M125" i="49"/>
  <c r="L125" i="49"/>
  <c r="K125" i="49"/>
  <c r="J125" i="49"/>
  <c r="I125" i="49"/>
  <c r="H125" i="49"/>
  <c r="G125" i="49"/>
  <c r="F125" i="49"/>
  <c r="E125" i="49"/>
  <c r="D125" i="49"/>
  <c r="B125" i="49"/>
  <c r="N124" i="49"/>
  <c r="M124" i="49"/>
  <c r="L124" i="49"/>
  <c r="K124" i="49"/>
  <c r="J124" i="49"/>
  <c r="I124" i="49"/>
  <c r="H124" i="49"/>
  <c r="G124" i="49"/>
  <c r="F124" i="49"/>
  <c r="E124" i="49"/>
  <c r="D124" i="49"/>
  <c r="B124" i="49"/>
  <c r="N123" i="49"/>
  <c r="M123" i="49"/>
  <c r="L123" i="49"/>
  <c r="K123" i="49"/>
  <c r="J123" i="49"/>
  <c r="I123" i="49"/>
  <c r="H123" i="49"/>
  <c r="G123" i="49"/>
  <c r="F123" i="49"/>
  <c r="E123" i="49"/>
  <c r="D123" i="49"/>
  <c r="B123" i="49"/>
  <c r="N122" i="49"/>
  <c r="M122" i="49"/>
  <c r="L122" i="49"/>
  <c r="K122" i="49"/>
  <c r="J122" i="49"/>
  <c r="I122" i="49"/>
  <c r="H122" i="49"/>
  <c r="G122" i="49"/>
  <c r="F122" i="49"/>
  <c r="E122" i="49"/>
  <c r="D122" i="49"/>
  <c r="B122" i="49"/>
  <c r="N121" i="49"/>
  <c r="M121" i="49"/>
  <c r="L121" i="49"/>
  <c r="K121" i="49"/>
  <c r="J121" i="49"/>
  <c r="I121" i="49"/>
  <c r="H121" i="49"/>
  <c r="G121" i="49"/>
  <c r="F121" i="49"/>
  <c r="E121" i="49"/>
  <c r="D121" i="49"/>
  <c r="B121" i="49"/>
  <c r="N120" i="49"/>
  <c r="M120" i="49"/>
  <c r="L120" i="49"/>
  <c r="K120" i="49"/>
  <c r="J120" i="49"/>
  <c r="I120" i="49"/>
  <c r="H120" i="49"/>
  <c r="G120" i="49"/>
  <c r="F120" i="49"/>
  <c r="E120" i="49"/>
  <c r="D120" i="49"/>
  <c r="B120" i="49"/>
  <c r="N119" i="49"/>
  <c r="M119" i="49"/>
  <c r="L119" i="49"/>
  <c r="K119" i="49"/>
  <c r="J119" i="49"/>
  <c r="I119" i="49"/>
  <c r="H119" i="49"/>
  <c r="G119" i="49"/>
  <c r="F119" i="49"/>
  <c r="E119" i="49"/>
  <c r="D119" i="49"/>
  <c r="B119" i="49"/>
  <c r="N118" i="49"/>
  <c r="M118" i="49"/>
  <c r="L118" i="49"/>
  <c r="K118" i="49"/>
  <c r="J118" i="49"/>
  <c r="I118" i="49"/>
  <c r="H118" i="49"/>
  <c r="G118" i="49"/>
  <c r="F118" i="49"/>
  <c r="E118" i="49"/>
  <c r="D118" i="49"/>
  <c r="B118" i="49"/>
  <c r="N117" i="49"/>
  <c r="M117" i="49"/>
  <c r="L117" i="49"/>
  <c r="K117" i="49"/>
  <c r="J117" i="49"/>
  <c r="I117" i="49"/>
  <c r="H117" i="49"/>
  <c r="G117" i="49"/>
  <c r="F117" i="49"/>
  <c r="E117" i="49"/>
  <c r="D117" i="49"/>
  <c r="B117" i="49"/>
  <c r="N116" i="49"/>
  <c r="M116" i="49"/>
  <c r="L116" i="49"/>
  <c r="K116" i="49"/>
  <c r="J116" i="49"/>
  <c r="I116" i="49"/>
  <c r="H116" i="49"/>
  <c r="G116" i="49"/>
  <c r="F116" i="49"/>
  <c r="E116" i="49"/>
  <c r="D116" i="49"/>
  <c r="B116" i="49"/>
  <c r="N115" i="49"/>
  <c r="M115" i="49"/>
  <c r="L115" i="49"/>
  <c r="K115" i="49"/>
  <c r="J115" i="49"/>
  <c r="I115" i="49"/>
  <c r="H115" i="49"/>
  <c r="G115" i="49"/>
  <c r="F115" i="49"/>
  <c r="D115" i="49"/>
  <c r="B115" i="49"/>
  <c r="N114" i="49"/>
  <c r="M114" i="49"/>
  <c r="L114" i="49"/>
  <c r="K114" i="49"/>
  <c r="J114" i="49"/>
  <c r="I114" i="49"/>
  <c r="H114" i="49"/>
  <c r="G114" i="49"/>
  <c r="F114" i="49"/>
  <c r="E114" i="49"/>
  <c r="B114" i="49"/>
  <c r="B110" i="49"/>
  <c r="B109" i="49"/>
  <c r="N105" i="49"/>
  <c r="M105" i="49"/>
  <c r="L105" i="49"/>
  <c r="K105" i="49"/>
  <c r="J105" i="49"/>
  <c r="I105" i="49"/>
  <c r="H105" i="49"/>
  <c r="G105" i="49"/>
  <c r="F105" i="49"/>
  <c r="E105" i="49"/>
  <c r="D105" i="49"/>
  <c r="B105" i="49"/>
  <c r="N104" i="49"/>
  <c r="M104" i="49"/>
  <c r="L104" i="49"/>
  <c r="K104" i="49"/>
  <c r="J104" i="49"/>
  <c r="I104" i="49"/>
  <c r="H104" i="49"/>
  <c r="G104" i="49"/>
  <c r="F104" i="49"/>
  <c r="E104" i="49"/>
  <c r="D104" i="49"/>
  <c r="B104" i="49"/>
  <c r="N103" i="49"/>
  <c r="M103" i="49"/>
  <c r="L103" i="49"/>
  <c r="K103" i="49"/>
  <c r="J103" i="49"/>
  <c r="I103" i="49"/>
  <c r="H103" i="49"/>
  <c r="G103" i="49"/>
  <c r="F103" i="49"/>
  <c r="E103" i="49"/>
  <c r="D103" i="49"/>
  <c r="B103" i="49"/>
  <c r="N102" i="49"/>
  <c r="M102" i="49"/>
  <c r="L102" i="49"/>
  <c r="K102" i="49"/>
  <c r="J102" i="49"/>
  <c r="I102" i="49"/>
  <c r="H102" i="49"/>
  <c r="G102" i="49"/>
  <c r="F102" i="49"/>
  <c r="E102" i="49"/>
  <c r="D102" i="49"/>
  <c r="B102" i="49"/>
  <c r="N101" i="49"/>
  <c r="M101" i="49"/>
  <c r="L101" i="49"/>
  <c r="K101" i="49"/>
  <c r="J101" i="49"/>
  <c r="I101" i="49"/>
  <c r="H101" i="49"/>
  <c r="G101" i="49"/>
  <c r="F101" i="49"/>
  <c r="E101" i="49"/>
  <c r="D101" i="49"/>
  <c r="B101" i="49"/>
  <c r="N100" i="49"/>
  <c r="M100" i="49"/>
  <c r="L100" i="49"/>
  <c r="K100" i="49"/>
  <c r="J100" i="49"/>
  <c r="I100" i="49"/>
  <c r="H100" i="49"/>
  <c r="G100" i="49"/>
  <c r="F100" i="49"/>
  <c r="E100" i="49"/>
  <c r="D100" i="49"/>
  <c r="B100" i="49"/>
  <c r="N99" i="49"/>
  <c r="M99" i="49"/>
  <c r="L99" i="49"/>
  <c r="K99" i="49"/>
  <c r="J99" i="49"/>
  <c r="I99" i="49"/>
  <c r="H99" i="49"/>
  <c r="G99" i="49"/>
  <c r="F99" i="49"/>
  <c r="E99" i="49"/>
  <c r="D99" i="49"/>
  <c r="B99" i="49"/>
  <c r="N98" i="49"/>
  <c r="M98" i="49"/>
  <c r="L98" i="49"/>
  <c r="K98" i="49"/>
  <c r="J98" i="49"/>
  <c r="I98" i="49"/>
  <c r="H98" i="49"/>
  <c r="G98" i="49"/>
  <c r="F98" i="49"/>
  <c r="E98" i="49"/>
  <c r="D98" i="49"/>
  <c r="B98" i="49"/>
  <c r="N97" i="49"/>
  <c r="M97" i="49"/>
  <c r="L97" i="49"/>
  <c r="K97" i="49"/>
  <c r="J97" i="49"/>
  <c r="I97" i="49"/>
  <c r="H97" i="49"/>
  <c r="G97" i="49"/>
  <c r="F97" i="49"/>
  <c r="E97" i="49"/>
  <c r="D97" i="49"/>
  <c r="B97" i="49"/>
  <c r="N96" i="49"/>
  <c r="M96" i="49"/>
  <c r="L96" i="49"/>
  <c r="K96" i="49"/>
  <c r="J96" i="49"/>
  <c r="I96" i="49"/>
  <c r="H96" i="49"/>
  <c r="G96" i="49"/>
  <c r="F96" i="49"/>
  <c r="E96" i="49"/>
  <c r="D96" i="49"/>
  <c r="B96" i="49"/>
  <c r="N95" i="49"/>
  <c r="M95" i="49"/>
  <c r="L95" i="49"/>
  <c r="K95" i="49"/>
  <c r="J95" i="49"/>
  <c r="I95" i="49"/>
  <c r="H95" i="49"/>
  <c r="G95" i="49"/>
  <c r="F95" i="49"/>
  <c r="E95" i="49"/>
  <c r="D95" i="49"/>
  <c r="B95" i="49"/>
  <c r="N94" i="49"/>
  <c r="M94" i="49"/>
  <c r="L94" i="49"/>
  <c r="K94" i="49"/>
  <c r="J94" i="49"/>
  <c r="I94" i="49"/>
  <c r="H94" i="49"/>
  <c r="G94" i="49"/>
  <c r="F94" i="49"/>
  <c r="E94" i="49"/>
  <c r="D94" i="49"/>
  <c r="B94" i="49"/>
  <c r="N93" i="49"/>
  <c r="M93" i="49"/>
  <c r="L93" i="49"/>
  <c r="K93" i="49"/>
  <c r="J93" i="49"/>
  <c r="I93" i="49"/>
  <c r="H93" i="49"/>
  <c r="G93" i="49"/>
  <c r="F93" i="49"/>
  <c r="E93" i="49"/>
  <c r="D93" i="49"/>
  <c r="B93" i="49"/>
  <c r="N92" i="49"/>
  <c r="M92" i="49"/>
  <c r="L92" i="49"/>
  <c r="K92" i="49"/>
  <c r="J92" i="49"/>
  <c r="I92" i="49"/>
  <c r="H92" i="49"/>
  <c r="G92" i="49"/>
  <c r="F92" i="49"/>
  <c r="E92" i="49"/>
  <c r="D92" i="49"/>
  <c r="B92" i="49"/>
  <c r="B71" i="49"/>
  <c r="B72" i="49"/>
  <c r="B73" i="49"/>
  <c r="B74" i="49"/>
  <c r="B75" i="49"/>
  <c r="B76" i="49"/>
  <c r="B77" i="49"/>
  <c r="B78" i="49"/>
  <c r="B79" i="49"/>
  <c r="B80" i="49"/>
  <c r="B81" i="49"/>
  <c r="B82" i="49"/>
  <c r="B83" i="49"/>
  <c r="B70" i="49"/>
  <c r="B88" i="49"/>
  <c r="B87" i="49"/>
  <c r="N83" i="49"/>
  <c r="M83" i="49"/>
  <c r="L83" i="49"/>
  <c r="K83" i="49"/>
  <c r="J83" i="49"/>
  <c r="I83" i="49"/>
  <c r="H83" i="49"/>
  <c r="G83" i="49"/>
  <c r="F83" i="49"/>
  <c r="E83" i="49"/>
  <c r="D83" i="49"/>
  <c r="N82" i="49"/>
  <c r="M82" i="49"/>
  <c r="L82" i="49"/>
  <c r="K82" i="49"/>
  <c r="J82" i="49"/>
  <c r="I82" i="49"/>
  <c r="H82" i="49"/>
  <c r="G82" i="49"/>
  <c r="F82" i="49"/>
  <c r="E82" i="49"/>
  <c r="D82" i="49"/>
  <c r="N81" i="49"/>
  <c r="M81" i="49"/>
  <c r="L81" i="49"/>
  <c r="K81" i="49"/>
  <c r="J81" i="49"/>
  <c r="I81" i="49"/>
  <c r="H81" i="49"/>
  <c r="G81" i="49"/>
  <c r="F81" i="49"/>
  <c r="E81" i="49"/>
  <c r="D81" i="49"/>
  <c r="N80" i="49"/>
  <c r="M80" i="49"/>
  <c r="L80" i="49"/>
  <c r="K80" i="49"/>
  <c r="J80" i="49"/>
  <c r="I80" i="49"/>
  <c r="H80" i="49"/>
  <c r="G80" i="49"/>
  <c r="F80" i="49"/>
  <c r="E80" i="49"/>
  <c r="D80" i="49"/>
  <c r="N79" i="49"/>
  <c r="M79" i="49"/>
  <c r="L79" i="49"/>
  <c r="K79" i="49"/>
  <c r="J79" i="49"/>
  <c r="I79" i="49"/>
  <c r="H79" i="49"/>
  <c r="G79" i="49"/>
  <c r="F79" i="49"/>
  <c r="E79" i="49"/>
  <c r="D79" i="49"/>
  <c r="N78" i="49"/>
  <c r="M78" i="49"/>
  <c r="L78" i="49"/>
  <c r="K78" i="49"/>
  <c r="J78" i="49"/>
  <c r="I78" i="49"/>
  <c r="H78" i="49"/>
  <c r="G78" i="49"/>
  <c r="F78" i="49"/>
  <c r="E78" i="49"/>
  <c r="D78" i="49"/>
  <c r="N77" i="49"/>
  <c r="M77" i="49"/>
  <c r="L77" i="49"/>
  <c r="K77" i="49"/>
  <c r="J77" i="49"/>
  <c r="I77" i="49"/>
  <c r="H77" i="49"/>
  <c r="G77" i="49"/>
  <c r="F77" i="49"/>
  <c r="E77" i="49"/>
  <c r="D77" i="49"/>
  <c r="N76" i="49"/>
  <c r="M76" i="49"/>
  <c r="L76" i="49"/>
  <c r="K76" i="49"/>
  <c r="J76" i="49"/>
  <c r="I76" i="49"/>
  <c r="H76" i="49"/>
  <c r="G76" i="49"/>
  <c r="F76" i="49"/>
  <c r="E76" i="49"/>
  <c r="D76" i="49"/>
  <c r="N75" i="49"/>
  <c r="M75" i="49"/>
  <c r="L75" i="49"/>
  <c r="K75" i="49"/>
  <c r="J75" i="49"/>
  <c r="I75" i="49"/>
  <c r="H75" i="49"/>
  <c r="G75" i="49"/>
  <c r="F75" i="49"/>
  <c r="E75" i="49"/>
  <c r="D75" i="49"/>
  <c r="N74" i="49"/>
  <c r="M74" i="49"/>
  <c r="L74" i="49"/>
  <c r="K74" i="49"/>
  <c r="J74" i="49"/>
  <c r="I74" i="49"/>
  <c r="H74" i="49"/>
  <c r="G74" i="49"/>
  <c r="F74" i="49"/>
  <c r="E74" i="49"/>
  <c r="D74" i="49"/>
  <c r="N73" i="49"/>
  <c r="M73" i="49"/>
  <c r="L73" i="49"/>
  <c r="K73" i="49"/>
  <c r="J73" i="49"/>
  <c r="I73" i="49"/>
  <c r="H73" i="49"/>
  <c r="G73" i="49"/>
  <c r="F73" i="49"/>
  <c r="E73" i="49"/>
  <c r="D73" i="49"/>
  <c r="N72" i="49"/>
  <c r="M72" i="49"/>
  <c r="L72" i="49"/>
  <c r="K72" i="49"/>
  <c r="J72" i="49"/>
  <c r="I72" i="49"/>
  <c r="H72" i="49"/>
  <c r="G72" i="49"/>
  <c r="F72" i="49"/>
  <c r="E72" i="49"/>
  <c r="D72" i="49"/>
  <c r="N71" i="49"/>
  <c r="M71" i="49"/>
  <c r="L71" i="49"/>
  <c r="K71" i="49"/>
  <c r="J71" i="49"/>
  <c r="I71" i="49"/>
  <c r="H71" i="49"/>
  <c r="G71" i="49"/>
  <c r="F71" i="49"/>
  <c r="E71" i="49"/>
  <c r="D71" i="49"/>
  <c r="O70" i="49"/>
  <c r="O84" i="49" s="1"/>
  <c r="M70" i="49"/>
  <c r="L70" i="49"/>
  <c r="K70" i="49"/>
  <c r="J70" i="49"/>
  <c r="I70" i="49"/>
  <c r="H70" i="49"/>
  <c r="G70" i="49"/>
  <c r="F70" i="49"/>
  <c r="E70" i="49"/>
  <c r="D70" i="49"/>
  <c r="P31" i="47"/>
  <c r="B53" i="49"/>
  <c r="B52" i="49"/>
  <c r="B51" i="49"/>
  <c r="B50" i="49"/>
  <c r="B49" i="49"/>
  <c r="B48" i="49"/>
  <c r="B43" i="49"/>
  <c r="B42" i="49"/>
  <c r="B41" i="49"/>
  <c r="B40" i="49"/>
  <c r="L38" i="49"/>
  <c r="K38" i="49"/>
  <c r="J38" i="49"/>
  <c r="I38" i="49"/>
  <c r="H38" i="49"/>
  <c r="G38" i="49"/>
  <c r="F38" i="49"/>
  <c r="E38" i="49"/>
  <c r="D38" i="49"/>
  <c r="B38" i="49"/>
  <c r="L37" i="49"/>
  <c r="K37" i="49"/>
  <c r="J37" i="49"/>
  <c r="I37" i="49"/>
  <c r="H37" i="49"/>
  <c r="G37" i="49"/>
  <c r="F37" i="49"/>
  <c r="E37" i="49"/>
  <c r="D37" i="49"/>
  <c r="B37" i="49"/>
  <c r="L36" i="49"/>
  <c r="K36" i="49"/>
  <c r="J36" i="49"/>
  <c r="I36" i="49"/>
  <c r="H36" i="49"/>
  <c r="G36" i="49"/>
  <c r="F36" i="49"/>
  <c r="E36" i="49"/>
  <c r="D36" i="49"/>
  <c r="B36" i="49"/>
  <c r="L35" i="49"/>
  <c r="K35" i="49"/>
  <c r="J35" i="49"/>
  <c r="I35" i="49"/>
  <c r="H35" i="49"/>
  <c r="G35" i="49"/>
  <c r="F35" i="49"/>
  <c r="E35" i="49"/>
  <c r="D35" i="49"/>
  <c r="B35" i="49"/>
  <c r="L34" i="49"/>
  <c r="K34" i="49"/>
  <c r="J34" i="49"/>
  <c r="I34" i="49"/>
  <c r="H34" i="49"/>
  <c r="G34" i="49"/>
  <c r="F34" i="49"/>
  <c r="E34" i="49"/>
  <c r="D34" i="49"/>
  <c r="B34" i="49"/>
  <c r="L33" i="49"/>
  <c r="K33" i="49"/>
  <c r="J33" i="49"/>
  <c r="I33" i="49"/>
  <c r="H33" i="49"/>
  <c r="G33" i="49"/>
  <c r="F33" i="49"/>
  <c r="E33" i="49"/>
  <c r="D33" i="49"/>
  <c r="B33" i="49"/>
  <c r="L32" i="49"/>
  <c r="K32" i="49"/>
  <c r="J32" i="49"/>
  <c r="I32" i="49"/>
  <c r="H32" i="49"/>
  <c r="G32" i="49"/>
  <c r="F32" i="49"/>
  <c r="E32" i="49"/>
  <c r="D32" i="49"/>
  <c r="B32" i="49"/>
  <c r="L31" i="49"/>
  <c r="K31" i="49"/>
  <c r="J31" i="49"/>
  <c r="I31" i="49"/>
  <c r="H31" i="49"/>
  <c r="G31" i="49"/>
  <c r="F31" i="49"/>
  <c r="E31" i="49"/>
  <c r="D31" i="49"/>
  <c r="B31" i="49"/>
  <c r="L30" i="49"/>
  <c r="K30" i="49"/>
  <c r="J30" i="49"/>
  <c r="I30" i="49"/>
  <c r="H30" i="49"/>
  <c r="G30" i="49"/>
  <c r="F30" i="49"/>
  <c r="E30" i="49"/>
  <c r="D30" i="49"/>
  <c r="B30" i="49"/>
  <c r="L29" i="49"/>
  <c r="K29" i="49"/>
  <c r="J29" i="49"/>
  <c r="I29" i="49"/>
  <c r="H29" i="49"/>
  <c r="G29" i="49"/>
  <c r="F29" i="49"/>
  <c r="E29" i="49"/>
  <c r="D29" i="49"/>
  <c r="B29" i="49"/>
  <c r="L28" i="49"/>
  <c r="K28" i="49"/>
  <c r="J28" i="49"/>
  <c r="I28" i="49"/>
  <c r="H28" i="49"/>
  <c r="G28" i="49"/>
  <c r="F28" i="49"/>
  <c r="E28" i="49"/>
  <c r="D28" i="49"/>
  <c r="B28" i="49"/>
  <c r="L27" i="49"/>
  <c r="K27" i="49"/>
  <c r="J27" i="49"/>
  <c r="I27" i="49"/>
  <c r="H27" i="49"/>
  <c r="G27" i="49"/>
  <c r="F27" i="49"/>
  <c r="E27" i="49"/>
  <c r="D27" i="49"/>
  <c r="B27" i="49"/>
  <c r="M26" i="49"/>
  <c r="L26" i="49"/>
  <c r="K26" i="49"/>
  <c r="J26" i="49"/>
  <c r="I26" i="49"/>
  <c r="H26" i="49"/>
  <c r="G26" i="49"/>
  <c r="F26" i="49"/>
  <c r="E26" i="49"/>
  <c r="D26" i="49"/>
  <c r="B26" i="49"/>
  <c r="B21" i="49"/>
  <c r="B20" i="49"/>
  <c r="B19" i="49"/>
  <c r="B18" i="49"/>
  <c r="L16" i="49"/>
  <c r="K16" i="49"/>
  <c r="J16" i="49"/>
  <c r="I16" i="49"/>
  <c r="H16" i="49"/>
  <c r="G16" i="49"/>
  <c r="F16" i="49"/>
  <c r="E16" i="49"/>
  <c r="D16" i="49"/>
  <c r="B16" i="49"/>
  <c r="L15" i="49"/>
  <c r="K15" i="49"/>
  <c r="J15" i="49"/>
  <c r="I15" i="49"/>
  <c r="H15" i="49"/>
  <c r="G15" i="49"/>
  <c r="F15" i="49"/>
  <c r="E15" i="49"/>
  <c r="D15" i="49"/>
  <c r="B15" i="49"/>
  <c r="L14" i="49"/>
  <c r="K14" i="49"/>
  <c r="J14" i="49"/>
  <c r="I14" i="49"/>
  <c r="H14" i="49"/>
  <c r="G14" i="49"/>
  <c r="F14" i="49"/>
  <c r="E14" i="49"/>
  <c r="D14" i="49"/>
  <c r="B14" i="49"/>
  <c r="L13" i="49"/>
  <c r="K13" i="49"/>
  <c r="J13" i="49"/>
  <c r="I13" i="49"/>
  <c r="H13" i="49"/>
  <c r="G13" i="49"/>
  <c r="F13" i="49"/>
  <c r="E13" i="49"/>
  <c r="D13" i="49"/>
  <c r="B13" i="49"/>
  <c r="L12" i="49"/>
  <c r="K12" i="49"/>
  <c r="J12" i="49"/>
  <c r="I12" i="49"/>
  <c r="H12" i="49"/>
  <c r="G12" i="49"/>
  <c r="F12" i="49"/>
  <c r="E12" i="49"/>
  <c r="D12" i="49"/>
  <c r="B12" i="49"/>
  <c r="L11" i="49"/>
  <c r="K11" i="49"/>
  <c r="J11" i="49"/>
  <c r="I11" i="49"/>
  <c r="H11" i="49"/>
  <c r="G11" i="49"/>
  <c r="F11" i="49"/>
  <c r="E11" i="49"/>
  <c r="D11" i="49"/>
  <c r="B11" i="49"/>
  <c r="L10" i="49"/>
  <c r="K10" i="49"/>
  <c r="J10" i="49"/>
  <c r="I10" i="49"/>
  <c r="H10" i="49"/>
  <c r="G10" i="49"/>
  <c r="F10" i="49"/>
  <c r="E10" i="49"/>
  <c r="D10" i="49"/>
  <c r="B10" i="49"/>
  <c r="L9" i="49"/>
  <c r="K9" i="49"/>
  <c r="J9" i="49"/>
  <c r="I9" i="49"/>
  <c r="H9" i="49"/>
  <c r="G9" i="49"/>
  <c r="F9" i="49"/>
  <c r="E9" i="49"/>
  <c r="D9" i="49"/>
  <c r="B9" i="49"/>
  <c r="L8" i="49"/>
  <c r="K8" i="49"/>
  <c r="J8" i="49"/>
  <c r="I8" i="49"/>
  <c r="H8" i="49"/>
  <c r="G8" i="49"/>
  <c r="F8" i="49"/>
  <c r="E8" i="49"/>
  <c r="D8" i="49"/>
  <c r="B8" i="49"/>
  <c r="L7" i="49"/>
  <c r="K7" i="49"/>
  <c r="J7" i="49"/>
  <c r="I7" i="49"/>
  <c r="H7" i="49"/>
  <c r="G7" i="49"/>
  <c r="F7" i="49"/>
  <c r="E7" i="49"/>
  <c r="D7" i="49"/>
  <c r="B7" i="49"/>
  <c r="L6" i="49"/>
  <c r="K6" i="49"/>
  <c r="J6" i="49"/>
  <c r="I6" i="49"/>
  <c r="H6" i="49"/>
  <c r="G6" i="49"/>
  <c r="F6" i="49"/>
  <c r="E6" i="49"/>
  <c r="D6" i="49"/>
  <c r="B6" i="49"/>
  <c r="L5" i="49"/>
  <c r="K5" i="49"/>
  <c r="J5" i="49"/>
  <c r="I5" i="49"/>
  <c r="H5" i="49"/>
  <c r="G5" i="49"/>
  <c r="F5" i="49"/>
  <c r="E5" i="49"/>
  <c r="D5" i="49"/>
  <c r="B5" i="49"/>
  <c r="L4" i="49"/>
  <c r="K4" i="49"/>
  <c r="J4" i="49"/>
  <c r="I4" i="49"/>
  <c r="H4" i="49"/>
  <c r="G4" i="49"/>
  <c r="F4" i="49"/>
  <c r="E4" i="49"/>
  <c r="D4" i="49"/>
  <c r="B4" i="49"/>
  <c r="O65" i="51"/>
  <c r="N65" i="51"/>
  <c r="M62" i="51"/>
  <c r="M63" i="51" s="1"/>
  <c r="M64" i="51" s="1"/>
  <c r="M65" i="51" s="1"/>
  <c r="M56" i="51"/>
  <c r="M57" i="51" s="1"/>
  <c r="M53" i="51"/>
  <c r="M46" i="51"/>
  <c r="M47" i="51" s="1"/>
  <c r="M48" i="51" s="1"/>
  <c r="B38" i="51"/>
  <c r="B39" i="51" s="1"/>
  <c r="M14" i="51"/>
  <c r="B6" i="51"/>
  <c r="D2" i="51" s="1" a="1"/>
  <c r="D2" i="51" s="1"/>
  <c r="B62" i="49" l="1"/>
  <c r="C52" i="49" s="1"/>
  <c r="I106" i="49"/>
  <c r="E128" i="49"/>
  <c r="O62" i="49"/>
  <c r="I150" i="49"/>
  <c r="G39" i="49"/>
  <c r="I39" i="49"/>
  <c r="L17" i="49"/>
  <c r="D17" i="49"/>
  <c r="G17" i="49"/>
  <c r="H150" i="49"/>
  <c r="G150" i="49"/>
  <c r="M128" i="49"/>
  <c r="J62" i="49"/>
  <c r="K62" i="49"/>
  <c r="I62" i="49"/>
  <c r="F62" i="49"/>
  <c r="E62" i="49"/>
  <c r="G62" i="49"/>
  <c r="L62" i="49"/>
  <c r="H62" i="49"/>
  <c r="K128" i="49"/>
  <c r="H106" i="49"/>
  <c r="D128" i="49"/>
  <c r="L128" i="49"/>
  <c r="J106" i="49"/>
  <c r="F128" i="49"/>
  <c r="N128" i="49"/>
  <c r="J150" i="49"/>
  <c r="C83" i="49"/>
  <c r="G106" i="49"/>
  <c r="N84" i="49"/>
  <c r="H84" i="49"/>
  <c r="E2" i="51"/>
  <c r="M66" i="51"/>
  <c r="K17" i="49"/>
  <c r="E39" i="49"/>
  <c r="D84" i="49"/>
  <c r="L84" i="49"/>
  <c r="E106" i="49"/>
  <c r="M106" i="49"/>
  <c r="I128" i="49"/>
  <c r="E150" i="49"/>
  <c r="M150" i="49"/>
  <c r="F39" i="49"/>
  <c r="E84" i="49"/>
  <c r="M84" i="49"/>
  <c r="F106" i="49"/>
  <c r="N106" i="49"/>
  <c r="J128" i="49"/>
  <c r="F150" i="49"/>
  <c r="N150" i="49"/>
  <c r="E17" i="49"/>
  <c r="F84" i="49"/>
  <c r="F17" i="49"/>
  <c r="H39" i="49"/>
  <c r="G84" i="49"/>
  <c r="H17" i="49"/>
  <c r="J39" i="49"/>
  <c r="I84" i="49"/>
  <c r="I17" i="49"/>
  <c r="K39" i="49"/>
  <c r="J84" i="49"/>
  <c r="K106" i="49"/>
  <c r="G128" i="49"/>
  <c r="K150" i="49"/>
  <c r="J17" i="49"/>
  <c r="D39" i="49"/>
  <c r="L39" i="49"/>
  <c r="K84" i="49"/>
  <c r="D106" i="49"/>
  <c r="L106" i="49"/>
  <c r="H128" i="49"/>
  <c r="D150" i="49"/>
  <c r="L150" i="49"/>
  <c r="B106" i="49"/>
  <c r="C97" i="49" s="1"/>
  <c r="B128" i="49"/>
  <c r="C120" i="49" s="1"/>
  <c r="B150" i="49"/>
  <c r="C140" i="49" s="1"/>
  <c r="B84" i="49"/>
  <c r="C70" i="49" s="1"/>
  <c r="B17" i="49"/>
  <c r="C9" i="49" s="1"/>
  <c r="B39" i="49"/>
  <c r="C26" i="49" s="1"/>
  <c r="M27" i="49"/>
  <c r="P34" i="47"/>
  <c r="Q33" i="47" s="1"/>
  <c r="C30" i="49" l="1"/>
  <c r="P150" i="49"/>
  <c r="P128" i="49"/>
  <c r="P106" i="49"/>
  <c r="P84" i="49"/>
  <c r="C27" i="49"/>
  <c r="C8" i="49"/>
  <c r="C7" i="49"/>
  <c r="C6" i="49"/>
  <c r="C5" i="49"/>
  <c r="C4" i="49"/>
  <c r="C16" i="49"/>
  <c r="C15" i="49"/>
  <c r="G123" i="51"/>
  <c r="G125" i="51" s="1"/>
  <c r="G126" i="51" s="1"/>
  <c r="G127" i="51" s="1"/>
  <c r="G128" i="51" s="1"/>
  <c r="G129" i="51" s="1"/>
  <c r="G131" i="51" s="1"/>
  <c r="G132" i="51" s="1"/>
  <c r="G133" i="51" s="1"/>
  <c r="G134" i="51" s="1"/>
  <c r="G135" i="51" s="1"/>
  <c r="G137" i="51" s="1"/>
  <c r="G138" i="51" s="1"/>
  <c r="G139" i="51" s="1"/>
  <c r="G140" i="51" s="1"/>
  <c r="G141" i="51" s="1"/>
  <c r="C13" i="49"/>
  <c r="C14" i="49"/>
  <c r="C38" i="49"/>
  <c r="C35" i="49"/>
  <c r="C12" i="49"/>
  <c r="C34" i="49"/>
  <c r="C11" i="49"/>
  <c r="C32" i="49"/>
  <c r="C10" i="49"/>
  <c r="C31" i="49"/>
  <c r="C76" i="49"/>
  <c r="C80" i="49"/>
  <c r="C77" i="49"/>
  <c r="C51" i="49"/>
  <c r="C50" i="49"/>
  <c r="C55" i="49"/>
  <c r="C54" i="49"/>
  <c r="C144" i="49"/>
  <c r="C127" i="49"/>
  <c r="C142" i="49"/>
  <c r="C59" i="49"/>
  <c r="C49" i="49"/>
  <c r="C75" i="49"/>
  <c r="C139" i="49"/>
  <c r="C122" i="49"/>
  <c r="C145" i="49"/>
  <c r="C58" i="49"/>
  <c r="C48" i="49"/>
  <c r="C138" i="49"/>
  <c r="C121" i="49"/>
  <c r="C57" i="49"/>
  <c r="C147" i="49"/>
  <c r="C137" i="49"/>
  <c r="C115" i="49"/>
  <c r="C143" i="49"/>
  <c r="C124" i="49"/>
  <c r="C123" i="49"/>
  <c r="C56" i="49"/>
  <c r="C146" i="49"/>
  <c r="C136" i="49"/>
  <c r="C114" i="49"/>
  <c r="C72" i="49"/>
  <c r="C119" i="49"/>
  <c r="C118" i="49"/>
  <c r="C53" i="49"/>
  <c r="C149" i="49"/>
  <c r="C141" i="49"/>
  <c r="C126" i="49"/>
  <c r="C117" i="49"/>
  <c r="C60" i="49"/>
  <c r="C81" i="49"/>
  <c r="C148" i="49"/>
  <c r="C125" i="49"/>
  <c r="C116" i="49"/>
  <c r="C99" i="49"/>
  <c r="C104" i="49"/>
  <c r="C96" i="49"/>
  <c r="C102" i="49"/>
  <c r="C94" i="49"/>
  <c r="Q31" i="47"/>
  <c r="C37" i="49"/>
  <c r="C29" i="49"/>
  <c r="C82" i="49"/>
  <c r="C74" i="49"/>
  <c r="C101" i="49"/>
  <c r="C93" i="49"/>
  <c r="C103" i="49"/>
  <c r="C95" i="49"/>
  <c r="C36" i="49"/>
  <c r="C28" i="49"/>
  <c r="C73" i="49"/>
  <c r="C100" i="49"/>
  <c r="C92" i="49"/>
  <c r="C79" i="49"/>
  <c r="C71" i="49"/>
  <c r="C98" i="49"/>
  <c r="C33" i="49"/>
  <c r="C78" i="49"/>
  <c r="C105" i="49"/>
  <c r="M62" i="49"/>
  <c r="M28" i="49"/>
  <c r="M29" i="49" s="1"/>
  <c r="M30" i="49" s="1"/>
  <c r="M31" i="49" s="1"/>
  <c r="M32" i="49" s="1"/>
  <c r="M33" i="49" s="1"/>
  <c r="M34" i="49" s="1"/>
  <c r="M35" i="49" s="1"/>
  <c r="M36" i="49" s="1"/>
  <c r="M37" i="49" s="1"/>
  <c r="M38" i="49" s="1"/>
  <c r="D62" i="49"/>
  <c r="D63" i="49" s="1"/>
  <c r="C150" i="49" l="1"/>
  <c r="C17" i="49"/>
  <c r="C39" i="49"/>
  <c r="C128" i="49"/>
  <c r="C62" i="49"/>
  <c r="C106" i="49"/>
  <c r="C84" i="49"/>
  <c r="M39" i="49"/>
  <c r="O39" i="49" s="1"/>
  <c r="Q34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เจษฎา มหามาตย์</author>
  </authors>
  <commentList>
    <comment ref="G98" authorId="0" shapeId="0" xr:uid="{00000000-0006-0000-0000-000001000000}">
      <text>
        <r>
          <rPr>
            <b/>
            <sz val="9"/>
            <rFont val="Tahoma"/>
            <family val="2"/>
          </rPr>
          <t>เจษฎา มหามาตย์: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<sst xmlns="http://schemas.openxmlformats.org/spreadsheetml/2006/main" count="2758" uniqueCount="497">
  <si>
    <t>เดือน</t>
  </si>
  <si>
    <t>งานทั้งหมด</t>
  </si>
  <si>
    <t>เสร็จ</t>
  </si>
  <si>
    <t>รอดำเนินการ</t>
  </si>
  <si>
    <t>งานสะสม</t>
  </si>
  <si>
    <t>ค่าใช้จ่ายในการสั่งของ</t>
  </si>
  <si>
    <t>งานที่ใช้จ่าย</t>
  </si>
  <si>
    <t>มกราคม</t>
  </si>
  <si>
    <t>กุมภาพันธ์</t>
  </si>
  <si>
    <t>ปั๊มน้ำ/ยางมะตอยถนนหน้าบริษัท/จอร้านกาแฟ</t>
  </si>
  <si>
    <t>มีนาคม</t>
  </si>
  <si>
    <t>ซิลิโคนตะปู/เหล็กแผน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</si>
  <si>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</si>
  <si>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</si>
  <si>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</si>
  <si>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</si>
  <si>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</si>
  <si>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</si>
  <si>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</si>
  <si>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</si>
  <si>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</si>
  <si>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รวมค่าใช้จ่าย</t>
  </si>
  <si>
    <t>Monthly Update</t>
  </si>
  <si>
    <t>Tasks</t>
  </si>
  <si>
    <t>วันที่</t>
  </si>
  <si>
    <t>งานสำเร็จ</t>
  </si>
  <si>
    <t>แก้ไขงานแจ้งซ่อม</t>
  </si>
  <si>
    <t xml:space="preserve">1st week </t>
  </si>
  <si>
    <t xml:space="preserve">2nd week </t>
  </si>
  <si>
    <t xml:space="preserve">3rd week </t>
  </si>
  <si>
    <t>4th week</t>
  </si>
  <si>
    <t xml:space="preserve">Finished </t>
  </si>
  <si>
    <t xml:space="preserve">Remain </t>
  </si>
  <si>
    <t>Total</t>
  </si>
  <si>
    <t>รวม</t>
  </si>
  <si>
    <t>งานสำเร็จทั้งหมด</t>
  </si>
  <si>
    <t>งานซ่อมรอบเดือน</t>
  </si>
  <si>
    <t>สำเร็จ</t>
  </si>
  <si>
    <t>คงค้าง</t>
  </si>
  <si>
    <t>สัปดาห์</t>
  </si>
  <si>
    <t>สรุปอัตรางานแจ้งซ่อม พฤษภาคม 69</t>
  </si>
  <si>
    <t>แผนก/ฝ่าย</t>
  </si>
  <si>
    <t>จำนวนแจ้งซ่อม</t>
  </si>
  <si>
    <t>%</t>
  </si>
  <si>
    <t>ประเภทที่แจ้งซ่อม</t>
  </si>
  <si>
    <t>ไฟฟ้า</t>
  </si>
  <si>
    <t>สุขภัณฑ์</t>
  </si>
  <si>
    <t>ประปา</t>
  </si>
  <si>
    <t>ระบบแอร์</t>
  </si>
  <si>
    <t>ม่าน</t>
  </si>
  <si>
    <t>เก้าอี้</t>
  </si>
  <si>
    <t>ประตู</t>
  </si>
  <si>
    <t>อุปกรณ์</t>
  </si>
  <si>
    <t>ขอบคิ้ว</t>
  </si>
  <si>
    <t>อาคาร/รีเซป</t>
  </si>
  <si>
    <t>ตรวจสอบ</t>
  </si>
  <si>
    <t>แม่บ้าน</t>
  </si>
  <si>
    <t>บัญชี</t>
  </si>
  <si>
    <t>ธุรการ/การตลาด</t>
  </si>
  <si>
    <t>การเงิน</t>
  </si>
  <si>
    <t>จัดซื้อ</t>
  </si>
  <si>
    <t>ไอทีซัพพอร์ต</t>
  </si>
  <si>
    <t>โปรแกรมเมอร์</t>
  </si>
  <si>
    <t>หนี้สิน</t>
  </si>
  <si>
    <t>เลขา</t>
  </si>
  <si>
    <t>บุคคล</t>
  </si>
  <si>
    <t>compliance</t>
  </si>
  <si>
    <t>รวมงานทั้งหมด</t>
  </si>
  <si>
    <t>เรียบร้อย</t>
  </si>
  <si>
    <t>กำลังดำเนินการ</t>
  </si>
  <si>
    <t>โอนย้าย</t>
  </si>
  <si>
    <t>สรุปอัตรางานแจ้งซ่อม มิถุนายน 69</t>
  </si>
  <si>
    <t>อื่นๆ</t>
  </si>
  <si>
    <t>สรุปอัตรางานแจ้งซ่อม กรกฏาคม 69</t>
  </si>
  <si>
    <t>ประเภท</t>
  </si>
  <si>
    <t>ลำดับ</t>
  </si>
  <si>
    <t>ฝ่าย</t>
  </si>
  <si>
    <t>ชั้น</t>
  </si>
  <si>
    <t>ความเร่งด่วน</t>
  </si>
  <si>
    <t>รองสุรัตน์</t>
  </si>
  <si>
    <t>น้ำหยดที่โต๊ะทำงาน</t>
  </si>
  <si>
    <t>เร่งด่วน</t>
  </si>
  <si>
    <t>ห้องอาบน้ำชั้น6 ไม่ไหล</t>
  </si>
  <si>
    <t>Kan/อาคาร</t>
  </si>
  <si>
    <t>หลังบริษัท</t>
  </si>
  <si>
    <t>เติมน้ำหลังบรัษัท</t>
  </si>
  <si>
    <t>ไม่เร่งด่วน</t>
  </si>
  <si>
    <t>P'Jane/reception</t>
  </si>
  <si>
    <t>สายเบาะนั่งหลุดตะทำงาน</t>
  </si>
  <si>
    <t>New/reception</t>
  </si>
  <si>
    <t>G</t>
  </si>
  <si>
    <t>เครื่องฉีดแอลกอฮอล์เสีย</t>
  </si>
  <si>
    <t>ป้อน/อาคาร</t>
  </si>
  <si>
    <t>ประตูอัปเปอร์ ตก</t>
  </si>
  <si>
    <t>นนท์/อาคาร</t>
  </si>
  <si>
    <t>ประตูห้อง Chiller ด้านซ้ายมองจากด้านนอก</t>
  </si>
  <si>
    <t>ทีม/อาคาร</t>
  </si>
  <si>
    <t>น้ำหยดจากท่อดับเพลิง</t>
  </si>
  <si>
    <t>ฟิวส์ตู้ Simplex ชั้น3 เสีย</t>
  </si>
  <si>
    <t>น้ำหยดห้อง Server ประชุมชั้น5</t>
  </si>
  <si>
    <t>ฝาปิดตู้ FC-13 ในห้อง EE14 หลุด</t>
  </si>
  <si>
    <t>พี่กลอฟ</t>
  </si>
  <si>
    <t>สายไฟโผล่ บริเวณรางไฟ</t>
  </si>
  <si>
    <t>แซ็ค</t>
  </si>
  <si>
    <t>ตัวสแกนนิ้วห้องไวน์ใช้งานไม่ได้</t>
  </si>
  <si>
    <t>พี่กอล์ฟ</t>
  </si>
  <si>
    <t>ประตูทางเข้าชั้น 11 แม่เหล็กเสียงดัง</t>
  </si>
  <si>
    <t>Roof</t>
  </si>
  <si>
    <t>ทาสีฝาท่อ ชั้นRoof</t>
  </si>
  <si>
    <t>เย็บกระสอบทราย</t>
  </si>
  <si>
    <t>ตำแหน่ง</t>
  </si>
  <si>
    <t>วันที่เข้าแก้ไข</t>
  </si>
  <si>
    <t>landscaping ไม่ติดหน้าบริษัท</t>
  </si>
  <si>
    <t>หน้าบริษัท</t>
  </si>
  <si>
    <t>ทีมซ่อม</t>
  </si>
  <si>
    <t>ขายึดม่านหลุดห้องเลาจน์</t>
  </si>
  <si>
    <t>ฝ้าชำรุด ชั้น6</t>
  </si>
  <si>
    <t>ฝ้า</t>
  </si>
  <si>
    <t>ตั้ง Limit ม่านใหม่ ห้องเลาจน์ ชั้น15</t>
  </si>
  <si>
    <t>ร้านกาแฟ</t>
  </si>
  <si>
    <t>ผู้รับเหมา</t>
  </si>
  <si>
    <t>ไฟหน้าบริษัทไม่ติด</t>
  </si>
  <si>
    <t>ลิฟต์ L2</t>
  </si>
  <si>
    <t>เกทวาล์วรั่วซึม</t>
  </si>
  <si>
    <t>ห้องน้ำชาย</t>
  </si>
  <si>
    <t>สวิตซ์ม่านกดม่านขึ้น-ลงไม่ได้</t>
  </si>
  <si>
    <t>ห้องเก็บของ</t>
  </si>
  <si>
    <t>ม่านจะหลุดห้องโยคะ</t>
  </si>
  <si>
    <t>ไฟชำรุดเเละมีน้ำขังอยู่ในบล็อคหน้าห้องโยคะ</t>
  </si>
  <si>
    <t>ห้องน้ำหญิง</t>
  </si>
  <si>
    <t>สายไฟEF 11-09 ไม่ได้ต่อ</t>
  </si>
  <si>
    <t>ทางเดินชั้น5</t>
  </si>
  <si>
    <t>ฝ้าจะร่วงห้องน้ำคนพิการ ชั้น6</t>
  </si>
  <si>
    <t>ราขึ้นฝ้าเพดาน</t>
  </si>
  <si>
    <t>ฝั่งวัด</t>
  </si>
  <si>
    <t>ม่านจะหลุดชั้น8</t>
  </si>
  <si>
    <t>ตู้ไฟห้อง EE-14/1 ตัวล็อกเสีย</t>
  </si>
  <si>
    <t>ตู้กดน้ำเย็นเสีย</t>
  </si>
  <si>
    <t>ไม่มีที่ปิดสายไฟ หลังประตู st1</t>
  </si>
  <si>
    <t>แก้ไขม่านชั้น15</t>
  </si>
  <si>
    <t>แก้ไขม่านชั้น12</t>
  </si>
  <si>
    <t>แก้ไขม่านชั้น11</t>
  </si>
  <si>
    <t>แก้ไขม่านชั้น10</t>
  </si>
  <si>
    <t>แก้ไขม่านชั้น8</t>
  </si>
  <si>
    <t>แก้ไขม่านชั้น6</t>
  </si>
  <si>
    <t>รีเซป</t>
  </si>
  <si>
    <t>ห้องน้ำ</t>
  </si>
  <si>
    <t>ก็อกอ่างล่างมือชั้น8ห้องน้ำพิเศษโยก</t>
  </si>
  <si>
    <t>ห้องน้ำพิเศษ</t>
  </si>
  <si>
    <t>ติดเทปซีลประตู ชั้นG ประตูหน้าข้างฝั่งห้องน้ำ</t>
  </si>
  <si>
    <t>ติดเทปซีลประตู ชั้นG ประตูหน้าข้างฝั่งร้านกาแฟ</t>
  </si>
  <si>
    <t>เปลี่ยนประเก็นท่อ Fire Pump</t>
  </si>
  <si>
    <t>ห้องประชุมชั้น5</t>
  </si>
  <si>
    <t>ท่อส่งน้ำดับเพลิงน้ำรั่ว</t>
  </si>
  <si>
    <t>บ่อทรายถังน้ำมัน</t>
  </si>
  <si>
    <t>ระบบไฟน้ำพุช็อค</t>
  </si>
  <si>
    <t>ชั้น10</t>
  </si>
  <si>
    <t>ประตูห้องรองสุรัตน์ ปิดไม่สนิท,เสียงดัง,กลอนล็อค</t>
  </si>
  <si>
    <t>ชั้น6</t>
  </si>
  <si>
    <t>ประตูcontron auto door ไม่ล็อค</t>
  </si>
  <si>
    <t>ประตูห้องChiller,ลูกบิด</t>
  </si>
  <si>
    <t>ประตูFireman ลูกบิด ชั้น4</t>
  </si>
  <si>
    <t>ประตุห้องcommand auto door ไม่ล้อค</t>
  </si>
  <si>
    <t>-</t>
  </si>
  <si>
    <t>ห้องอาบน้ำ</t>
  </si>
  <si>
    <t>แจ้งซ่อมรายวัน</t>
  </si>
  <si>
    <t>เดือน เมษายน 2569</t>
  </si>
  <si>
    <t>ชื่อผู้แจ้งซ่อม/ฝ่าย</t>
  </si>
  <si>
    <t>คอลัมน์1</t>
  </si>
  <si>
    <t>แจ้งผ่าน</t>
  </si>
  <si>
    <t>เรื่อง</t>
  </si>
  <si>
    <t>วันที่แจ้งซ่อม</t>
  </si>
  <si>
    <t>สถานะ</t>
  </si>
  <si>
    <t>Line</t>
  </si>
  <si>
    <t>หลอดไฟไม่ติดห้องน้ำชาย</t>
  </si>
  <si>
    <t>ส่วนตัว</t>
  </si>
  <si>
    <t>ห้องทำงาน</t>
  </si>
  <si>
    <t>Bas</t>
  </si>
  <si>
    <t>ก๊อกน้ำล้างมือ น้ำไม่ไหล</t>
  </si>
  <si>
    <t>โถปัสสาวะทำงานน้ำไหลไม่หยุด</t>
  </si>
  <si>
    <t>สายเบาะนั่งหลุด</t>
  </si>
  <si>
    <t>โต๊ะทำงานฝั่งโลตัส</t>
  </si>
  <si>
    <t>ประตูมีเสียง</t>
  </si>
  <si>
    <t>ประตูกลาง</t>
  </si>
  <si>
    <t>Zack</t>
  </si>
  <si>
    <t>Helpdesk</t>
  </si>
  <si>
    <t>ไฟไม่ติด</t>
  </si>
  <si>
    <t>หน้าลิฟ fire man</t>
  </si>
  <si>
    <t>Oong/อาคาร</t>
  </si>
  <si>
    <t>โช๊คประตูเปิดล็อคค้างไม่ได้</t>
  </si>
  <si>
    <t>ทางไปห้องน้ำ</t>
  </si>
  <si>
    <t>หลอดไฟไม่ติดตู้ทรานเฟอร์</t>
  </si>
  <si>
    <t>ห้อง fire pump</t>
  </si>
  <si>
    <t>งาน PM ล้างแอร์</t>
  </si>
  <si>
    <t>ห้อง server</t>
  </si>
  <si>
    <t>ลิฟ car park</t>
  </si>
  <si>
    <t>Nan/reception</t>
  </si>
  <si>
    <t>รางไฟร่วง</t>
  </si>
  <si>
    <t>หลังโต๊ะreception</t>
  </si>
  <si>
    <t>Pick/อาคาร</t>
  </si>
  <si>
    <t>สายดึงม่านหลุด</t>
  </si>
  <si>
    <t xml:space="preserve">เทปซิลประตูหลุด </t>
  </si>
  <si>
    <t>อัปเปอร์</t>
  </si>
  <si>
    <t>หลอดไฟแสดงสถานะ PAU-2-01</t>
  </si>
  <si>
    <t>ระหว่างทางขึ้นชั้น2</t>
  </si>
  <si>
    <t>น๊อต/อาคาร</t>
  </si>
  <si>
    <t>น๊อตตัวเมียร่มร้านกาแฟหาย</t>
  </si>
  <si>
    <t>ร้านกาแฟหน้าบริษัท</t>
  </si>
  <si>
    <t>Big/Line OA</t>
  </si>
  <si>
    <t>แป้นพิมพ์ห้องประชุมถ่านอ่อน</t>
  </si>
  <si>
    <t>ห้องประชุมเมืองไทย2</t>
  </si>
  <si>
    <t>เทปซีลประตูหลุดออกมานอกประตู</t>
  </si>
  <si>
    <t>ประตูทางเข้าฝั่งโลตัสด้านที่ติดลานจอดรถ</t>
  </si>
  <si>
    <t>กลอนประตูหย่อน</t>
  </si>
  <si>
    <t>เดือน พฤษภาคม 2569</t>
  </si>
  <si>
    <t>ชื่อผู้แจ้งซ่อม</t>
  </si>
  <si>
    <t>สรุปอัตราการแจ้งซ่อม</t>
  </si>
  <si>
    <t>ตรวจสอบตู้ไฟหน้าบริษัท</t>
  </si>
  <si>
    <t>จำนวนแจ้ง</t>
  </si>
  <si>
    <t>เต้าเสียบปลั๊กหลวม</t>
  </si>
  <si>
    <t>P'กอร์ฟ/อาคาร</t>
  </si>
  <si>
    <t>ภาพเอียง</t>
  </si>
  <si>
    <t>เซนเซอร์ก๊อกน้ำห้องน้ำพิเศษมีปัญหาน้ำไม่ไหล</t>
  </si>
  <si>
    <t>กานต์/อาคาร</t>
  </si>
  <si>
    <t>โต๊ะร้านกาแฟล้อมีปัญหา</t>
  </si>
  <si>
    <t>EE14</t>
  </si>
  <si>
    <t>ป้าแม่บ้าน</t>
  </si>
  <si>
    <t>เก้าอี้ชั้น12แกนตรงตัวปรับระดับไม่ได้</t>
  </si>
  <si>
    <t>ฝาปิดลิฟท์กลางชั้น15หลุด</t>
  </si>
  <si>
    <t>พี่เจน</t>
  </si>
  <si>
    <t>รางไฟหลุด</t>
  </si>
  <si>
    <t>หลอดไฟแสดงสถานะตู้PAU-2-1 ไม่ติด</t>
  </si>
  <si>
    <t>พี่จูน</t>
  </si>
  <si>
    <t xml:space="preserve">แผ่นกั้นโต๊ะทำงานหลุด </t>
  </si>
  <si>
    <t>ปิ๊ก</t>
  </si>
  <si>
    <t>หลอดไฟไม่ติดไฟแมนชั้น3</t>
  </si>
  <si>
    <t>OA</t>
  </si>
  <si>
    <t>ไฟ Tip โต๊ะพนักงาน ชั้น12</t>
  </si>
  <si>
    <t>ไฟล์</t>
  </si>
  <si>
    <t>ถ่านแบตเตรี่ห้องน้ำชาย ชั้น12 อ่อน</t>
  </si>
  <si>
    <t>Berak glass แตก</t>
  </si>
  <si>
    <t>โคมหลอดแก้วหลุด ชั้น10</t>
  </si>
  <si>
    <t>กลอนประตูเปิดไม่ออก</t>
  </si>
  <si>
    <t>อุปกรณ์ออกกำลังกายชำรุด</t>
  </si>
  <si>
    <t>นิว</t>
  </si>
  <si>
    <t>ม่านฝั่งโลตัส ชั้น14 ลงไม่สุด</t>
  </si>
  <si>
    <t>ที่ปิดตู้คูลลิ่งล็อคไม่ได้</t>
  </si>
  <si>
    <t xml:space="preserve">กริลร่องแอร์ฝั่งโลตัสชั้น 9 </t>
  </si>
  <si>
    <t>เทปซีนประตูทางเข้าชั้น G ฝั่งโลตัส</t>
  </si>
  <si>
    <t>พัดลมดูดอากาศชั้น 11 ปิดไม่สนิท</t>
  </si>
  <si>
    <t>แจกันล้มโดนลมพัด</t>
  </si>
  <si>
    <t>ลูกบอลออกกำลังกายชำรุด</t>
  </si>
  <si>
    <t>ใส่ชั้นวางอุปกรณ์ชั้น14</t>
  </si>
  <si>
    <t>ขอบคิ้วลิฟต์กลางหลุด ชั้น14</t>
  </si>
  <si>
    <t>แช็ค</t>
  </si>
  <si>
    <t>ขอบคิ้วชั้นGหลุดหน้าประตูไฟแมน</t>
  </si>
  <si>
    <t>ประตูAuto door มีเสียง ชั้น12</t>
  </si>
  <si>
    <t>รางไฟหน้าห้องน้ำหญิง</t>
  </si>
  <si>
    <t>รางไฟร่วงหน้าห้องน้ำหญิง</t>
  </si>
  <si>
    <t>หน้าห้องน้ำหญิง</t>
  </si>
  <si>
    <t>รางไฟร่วงหน้าทางไปลิฟท์ Fire man</t>
  </si>
  <si>
    <t>ทางไปลิฟท์ Fire man</t>
  </si>
  <si>
    <t>ประตู Auto door มีเสียง</t>
  </si>
  <si>
    <t>ดึงสายม่านไม่ได้</t>
  </si>
  <si>
    <t>ม่านฝั่งวัด</t>
  </si>
  <si>
    <t>จ๋า/ฝ่ายบุคคล</t>
  </si>
  <si>
    <t>น้ำแอร์หยด โถงกลาง</t>
  </si>
  <si>
    <t>โถงกลาง</t>
  </si>
  <si>
    <t>แอร์ไม่เย็น เนื่องจาก filter แอร์ ฝุ่นเต็ม</t>
  </si>
  <si>
    <t>บริเวณที่นั่งเลขา</t>
  </si>
  <si>
    <t>เปลี่ยนก็อกร้านกาแฟเนื่องจากคุณบูมมาใช้งาน</t>
  </si>
  <si>
    <t>สายฉีดชำระมีปัญหา</t>
  </si>
  <si>
    <t>ห้องน้ำชายห้องที่2จากด้านนอกสุด</t>
  </si>
  <si>
    <t xml:space="preserve"> น้ำจากตู้กดไม่เย็น</t>
  </si>
  <si>
    <t>ช่วยขึ้นรูปพระราชินี</t>
  </si>
  <si>
    <t>ประตูหน้าที่ล็อคไว้ติดร้านกาแฟ</t>
  </si>
  <si>
    <t>เดือน มิถุนายน 2569</t>
  </si>
  <si>
    <t xml:space="preserve">หลอดไฟกระพริบ ชั้น15 </t>
  </si>
  <si>
    <t>ห้องประชุมบอร์ด</t>
  </si>
  <si>
    <t>ทาสีไม้ทำแบล็คดรอป</t>
  </si>
  <si>
    <t>ใช้สำหรับติดตั้งในห้องประชุ่มสุขสามัคคี</t>
  </si>
  <si>
    <t>ห้องน้ำพิเศษ ชั้น9 ตันกลิ่นอับ</t>
  </si>
  <si>
    <t>ห้องน้ำพิเศษชั้น9</t>
  </si>
  <si>
    <t>พีเจน</t>
  </si>
  <si>
    <t>ห้องแพนทรีสายน้ำต้อ่างน้ำหยด</t>
  </si>
  <si>
    <t>ห้องแพนทรี</t>
  </si>
  <si>
    <t>ทีม</t>
  </si>
  <si>
    <t xml:space="preserve">ตรวจสอบโต๊ะพับตัวที่ดยก </t>
  </si>
  <si>
    <t>ทุกชั้นที่มี</t>
  </si>
  <si>
    <t>นนท์</t>
  </si>
  <si>
    <t>ประตูเสียงดังตอนปิด</t>
  </si>
  <si>
    <t>ประตู fire man lift</t>
  </si>
  <si>
    <t>โถปัสสาวะชายน้ำไหลเบา</t>
  </si>
  <si>
    <t>ก๊อกน้ำตัวในสุดไม่ทำงาน</t>
  </si>
  <si>
    <t>โถ่งปัสสาวะไหลเบา</t>
  </si>
  <si>
    <t>ห้องน้ำห้อง2</t>
  </si>
  <si>
    <t>ประตูมีรูห้องน้ำหญิงชั้น12</t>
  </si>
  <si>
    <t>28/06/256</t>
  </si>
  <si>
    <t>ดิจิตอลเทอโมมิเตอร์ตัวเลขไม่ขึ้น</t>
  </si>
  <si>
    <t>ปิีก</t>
  </si>
  <si>
    <t>Transfer pump 01 น้ำไหลเบา</t>
  </si>
  <si>
    <t>ห้องFire Pump</t>
  </si>
  <si>
    <t>สีพื้นห้องลิฟต์สีแตก</t>
  </si>
  <si>
    <t>ห้องลิฟต์</t>
  </si>
  <si>
    <t>พื้นชั้นRoofมีตะไคร่</t>
  </si>
  <si>
    <t>บันได้ขึ้นดาดฟ้า</t>
  </si>
  <si>
    <t>บันไดขึ้นดาดฟ้ามีสนิม</t>
  </si>
  <si>
    <t>ตัวยึดสลิงต้นไม้ขาด</t>
  </si>
  <si>
    <t>ก็อกน้ำไม่ไหลห้องน้ำคนพิเศษ ชั้นG</t>
  </si>
  <si>
    <t>ห้องน้ำพิเศษชั้นG</t>
  </si>
  <si>
    <t>ก็อกน้ำไม่ไหลห้องน้ำคนพิเศษ ชั้น9</t>
  </si>
  <si>
    <r>
      <rPr>
        <sz val="11"/>
        <rFont val="Calibri"/>
        <family val="2"/>
        <scheme val="minor"/>
      </rPr>
      <t>ห้องแรก</t>
    </r>
    <r>
      <rPr>
        <b/>
        <sz val="11"/>
        <color rgb="FFFF0000"/>
        <rFont val="Calibri"/>
        <family val="2"/>
        <scheme val="minor"/>
      </rPr>
      <t xml:space="preserve"> ด่วนๆ</t>
    </r>
  </si>
  <si>
    <t>แผงไฟล่างจอไวเนสหลุด ชั้น G</t>
  </si>
  <si>
    <t>หน้าลิฟต์</t>
  </si>
  <si>
    <t>สายฉีดชำรุดห้องน้ำหญิงชั้น8</t>
  </si>
  <si>
    <t>ห้องที่2</t>
  </si>
  <si>
    <t xml:space="preserve">คิ้วใต้รูป ชั้น G </t>
  </si>
  <si>
    <t>ฝั่งร้านกาแฟ</t>
  </si>
  <si>
    <t>เสียงดังเวลาค้างและกดปิด</t>
  </si>
  <si>
    <t>ขอบสแตนเลสด้านล่างหลุด</t>
  </si>
  <si>
    <t>ลิฟท์กลาง</t>
  </si>
  <si>
    <t>พานพุ่มหลุดบ่อย หาวิธียึดให้ไม่หลุด</t>
  </si>
  <si>
    <t>ด้านหน้าประตูบริเวณที่ติดรูปราชินี</t>
  </si>
  <si>
    <t>พี่กอร์ฟ</t>
  </si>
  <si>
    <t>ฝ้ามีรอยนูนจากการโป๊ว ให้ขัดผิวให้เนียนเสมอฝ้า</t>
  </si>
  <si>
    <t>ฝ้าบริเวณทางเข้าห้องเลาจ์ชั้น15</t>
  </si>
  <si>
    <t>ประตูชั้น5 โช้คหลุด</t>
  </si>
  <si>
    <t>ห้องประชุทชั้น5</t>
  </si>
  <si>
    <t>น้ำไหลไม่หยุดห้องน้ำพิเศษ ชั้น10</t>
  </si>
  <si>
    <t>น้ำไหลน้อยห้องน้ำชาย ชั้น6</t>
  </si>
  <si>
    <t>ขอบคิ้วกระจกหลุดห้องน้พอการชั้น6</t>
  </si>
  <si>
    <t>ห้องพิการ</t>
  </si>
  <si>
    <t>น้ำไหลน้อยห้องน้ำชาย ชั้น8</t>
  </si>
  <si>
    <t>ไฟกระพริบ ห้องไฟแมนชั้น5</t>
  </si>
  <si>
    <t>ตัวที่2</t>
  </si>
  <si>
    <t>อิง</t>
  </si>
  <si>
    <t>ชั้น12 ประตูFire man แก้ล่าสุด 6/6/69</t>
  </si>
  <si>
    <t>ประตูห้องเซิร์ฟเวอร์ตก เมืองไทย2</t>
  </si>
  <si>
    <t>ก้านหลอดไฟหลุด ข้างเมืองไทย1</t>
  </si>
  <si>
    <t>ที่รองนั่งโถส้วมเคลื่อน</t>
  </si>
  <si>
    <t>ที่วางสายชำระหัก</t>
  </si>
  <si>
    <t>ห้องน้ำหญิงชั้น2</t>
  </si>
  <si>
    <t>ขอบคิ้วบันไดหลุด</t>
  </si>
  <si>
    <t>บันไดกลาง</t>
  </si>
  <si>
    <t>ขอบคิ้วเสาชั้นG  หลุด</t>
  </si>
  <si>
    <t>ขอบคิ้วใต้ลิฟท์ชั้นG หลุด</t>
  </si>
  <si>
    <t>หน้าลิฟท์ L3</t>
  </si>
  <si>
    <t>ขอบคิ้วลิฟท์ชั้น5 หลุด</t>
  </si>
  <si>
    <t>ขอบคิ้วเสาชั้นG หลุด</t>
  </si>
  <si>
    <t>เสาติดถังขยะหน้าร้านกาแฟ</t>
  </si>
  <si>
    <t>ขอบคิ้วชั้นG หลุด</t>
  </si>
  <si>
    <t>บริเวณหลังเก้าอี้จัดแสดง</t>
  </si>
  <si>
    <t>ก๊อกน้ำไม่ไหล</t>
  </si>
  <si>
    <t>ก๊อก UT-14-AF-1 ห้องน้ำคนพิการ</t>
  </si>
  <si>
    <t>ไฟไม่ติดทางเดินชั้น5</t>
  </si>
  <si>
    <t>P'nan</t>
  </si>
  <si>
    <t>ขยับรูปในหลวงชั้นG</t>
  </si>
  <si>
    <t>งานเบ็ดเตล็ด</t>
  </si>
  <si>
    <t>ด้านหลังโต๊ะรีเซป</t>
  </si>
  <si>
    <t>ขอบคิ้วหน้าห้องน้ำชาย ชั้นG</t>
  </si>
  <si>
    <t>หน้าห้องน้ำชาย</t>
  </si>
  <si>
    <t>ประตูกลางชั้น12 มีเสียง</t>
  </si>
  <si>
    <t>เดือน กรกฎาคม 2569</t>
  </si>
  <si>
    <t>สัปดาห์แจ้งซ่อม</t>
  </si>
  <si>
    <t>พี่ไอที</t>
  </si>
  <si>
    <t>ประตูห้องไอทีปิดไม่สนิท</t>
  </si>
  <si>
    <t>ห้องไอที</t>
  </si>
  <si>
    <r>
      <rPr>
        <b/>
        <sz val="18"/>
        <color theme="1"/>
        <rFont val="Calibri"/>
        <family val="2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family val="2"/>
        <scheme val="minor"/>
      </rPr>
      <t>1 Week</t>
    </r>
  </si>
  <si>
    <t>ฝ่าย/แผนก</t>
  </si>
  <si>
    <r>
      <rPr>
        <b/>
        <sz val="18"/>
        <color theme="1"/>
        <rFont val="Calibri"/>
        <family val="2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family val="2"/>
        <scheme val="minor"/>
      </rPr>
      <t>2 Week</t>
    </r>
  </si>
  <si>
    <r>
      <rPr>
        <b/>
        <sz val="18"/>
        <color theme="1"/>
        <rFont val="Calibri"/>
        <family val="2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family val="2"/>
        <scheme val="minor"/>
      </rPr>
      <t>3 Week</t>
    </r>
  </si>
  <si>
    <r>
      <rPr>
        <b/>
        <sz val="18"/>
        <color theme="1"/>
        <rFont val="Calibri"/>
        <family val="2"/>
        <scheme val="minor"/>
      </rPr>
      <t xml:space="preserve">สรุปอัตรางานแจ้งซ่อม กรกฏาคม 69 </t>
    </r>
    <r>
      <rPr>
        <b/>
        <sz val="18"/>
        <color rgb="FFFF0000"/>
        <rFont val="Calibri"/>
        <family val="2"/>
        <scheme val="minor"/>
      </rPr>
      <t>4 Week</t>
    </r>
  </si>
  <si>
    <t>น๊อต</t>
  </si>
  <si>
    <t>ห้องถ่ายเอกสาร</t>
  </si>
  <si>
    <t>โถส้วมห้องที่3น้ำออก 2 ช่อง ห้องน้ำหญิง</t>
  </si>
  <si>
    <t>ตรวจเช็คไฟส่องสว่าง</t>
  </si>
  <si>
    <t>PM-MT</t>
  </si>
  <si>
    <t>ตรวจเช็คก็อกน้ำ</t>
  </si>
  <si>
    <t>เอส</t>
  </si>
  <si>
    <t>ประตูSt2 เสียงดังเวลาปิด ชั้น5</t>
  </si>
  <si>
    <t>แซ็ก</t>
  </si>
  <si>
    <t>ตู้ Control cooling 02 น็อตหลุด</t>
  </si>
  <si>
    <t xml:space="preserve">ไฟไม่ติดห้องน้ำชายชั้น5 </t>
  </si>
  <si>
    <t>ไฟเส้นไม่ติดห้องน้ำชายชั้น 6</t>
  </si>
  <si>
    <t>ไฟไม่ติดลานจอดรถ</t>
  </si>
  <si>
    <t>พี่ฟลุ๊ค</t>
  </si>
  <si>
    <t>Landscape ไม่มีที่ปิด</t>
  </si>
  <si>
    <t>โถปัสสาวะชายน้ำไหลไม่หยุด</t>
  </si>
  <si>
    <t>ขอบคิ้วหลุดห้องน้ำหญิงชั้น10</t>
  </si>
  <si>
    <t>ก็อกน้ำไม่ไหลห้องน้ำชาย นอก</t>
  </si>
  <si>
    <t>โถปัสสาวะชายชั้น 7 ตัวที่3 ท่อรั่ว</t>
  </si>
  <si>
    <t>พี่น็อต</t>
  </si>
  <si>
    <t>น้ำแอร์พากเพียรหยด</t>
  </si>
  <si>
    <t>บันไดกลางชั้น8ขอบคิ้วบันไดหลุด</t>
  </si>
  <si>
    <t>เจน</t>
  </si>
  <si>
    <t>ท่อน้ำห้องขยะตัน</t>
  </si>
  <si>
    <t>Supattra</t>
  </si>
  <si>
    <t>ก็อกน้ำปิดไม่ได้ห้องน้ำ รปภ ชั้น G</t>
  </si>
  <si>
    <t>ตารางติดตามความคืบหน้างานซ่อมรายเดือน</t>
  </si>
  <si>
    <t>อัปเดตปริมาณงานรอบเดือน</t>
  </si>
  <si>
    <t xml:space="preserve"> </t>
  </si>
  <si>
    <t xml:space="preserve"> ปริมาณงานสะสม =</t>
  </si>
  <si>
    <t>แจ้งซ่อม</t>
  </si>
  <si>
    <t>แก้ไขสลิงต้นไม้งอ</t>
  </si>
  <si>
    <t>พนักงาน</t>
  </si>
  <si>
    <t>แขนเก้าอี้โยก เนื่องจากสกรูยึดหลุด</t>
  </si>
  <si>
    <t>โต๊ะติดหน้าต่างมุมซ้ายบนสุดฝั่งโลตัส</t>
  </si>
  <si>
    <t>ต้นโอ๊ค</t>
  </si>
  <si>
    <t>อุปกรณ์เกจหัก ที่ห้อง Fire pump</t>
  </si>
  <si>
    <t>สายไฟไม่เรียบร้อย ร้านกาแฟ</t>
  </si>
  <si>
    <t>น้ำหยดที่โต๊ะทำงานรองสุรัตน์</t>
  </si>
  <si>
    <t>พี่ณี</t>
  </si>
  <si>
    <t>กลอนประตูโยก ST ชั้น3</t>
  </si>
  <si>
    <t>ทดสอบระบบลูกลอยห้องfire pump</t>
  </si>
  <si>
    <t>หน้าเบิร์ด</t>
  </si>
  <si>
    <t>ไม้กั้นตรง รปภ เปิด-ปิดเอง</t>
  </si>
  <si>
    <t xml:space="preserve">แขนจับประตู ST2 ชั้น5 </t>
  </si>
  <si>
    <t>กระเบื้องหลุดไฟแมนลิฟต์ชั้น8</t>
  </si>
  <si>
    <t>ลูกลอยปั๊ม DP มีปัญหา</t>
  </si>
  <si>
    <t>สัปดาห์ที่แก้ไข</t>
  </si>
  <si>
    <t>น็อต</t>
  </si>
  <si>
    <t>น้ำหยดชั้น7 ฝั่งวัด</t>
  </si>
  <si>
    <t>หลอดไฟหน้ากระจกไม่ติดชั้นGห้องน้ำชาย</t>
  </si>
  <si>
    <t>กล่องไฟหลุด</t>
  </si>
  <si>
    <t>น้ำแอร์หยด AHU-5-04</t>
  </si>
  <si>
    <t>หน้าห้องประชุมสุขสามัคคี</t>
  </si>
  <si>
    <t>หลอดไฟในห้องไอทีเสีย</t>
  </si>
  <si>
    <t>ในห้องทำงานไอที</t>
  </si>
  <si>
    <t xml:space="preserve"> แป้นกดลิฟท์ปิดไม่สนิท</t>
  </si>
  <si>
    <t>ไฟท์</t>
  </si>
  <si>
    <t>หน้าจอแป้นกดลิฟท์กลางมีรอยด้าน</t>
  </si>
  <si>
    <t>เข้ม</t>
  </si>
  <si>
    <t>แขนเก้าอี้ชำรุด</t>
  </si>
  <si>
    <t>ไฟกระพริบห้นาห้องเลาจ์</t>
  </si>
  <si>
    <t>หน้าห้องเลาจ์</t>
  </si>
  <si>
    <t>Support ยึดม่านหลุด ห้องรองสุรัตน์</t>
  </si>
  <si>
    <t>ลิฟท์ Fire man</t>
  </si>
  <si>
    <t>ฝ้าในลิฟท์ Fire man หล่น</t>
  </si>
  <si>
    <t>ฝ้าซึมน้ำในห้องถ่ายเอกสาร</t>
  </si>
  <si>
    <t xml:space="preserve">คิ้วประตูหลุด </t>
  </si>
  <si>
    <t>ประตูห้องประชุมบอร์ด ฝั่งโลตัส</t>
  </si>
  <si>
    <t>ขอบคิ้วแตก</t>
  </si>
  <si>
    <t>หน้า ST1</t>
  </si>
  <si>
    <t>หาที่ปิดตำแหน่งประตูกระจกฝั่งที่หลุดแตก</t>
  </si>
  <si>
    <t>ฝั่งโลตัสติดร้านกาแฟ</t>
  </si>
  <si>
    <t>ม่านเสีย</t>
  </si>
  <si>
    <t>ฝ้าน้ำรั่วห้องโยคะ</t>
  </si>
  <si>
    <t>ห้องโยคะ</t>
  </si>
  <si>
    <t>อุปกรณ์ตกแต่งที่ประตูst2 ชั้น 15 หลุด</t>
  </si>
  <si>
    <t>ประตูST2</t>
  </si>
  <si>
    <t>ตู้ไฟห้อง EE3 สกรูยึดหลุดหายบางตู้</t>
  </si>
  <si>
    <t>ห้อง EE3</t>
  </si>
  <si>
    <t>พี่แนน</t>
  </si>
  <si>
    <t>เครื่องช็อตยุงเสีย</t>
  </si>
  <si>
    <t>ไมค์ห้องวิริยะเสีย 3 ตัว</t>
  </si>
  <si>
    <t>ห้องวิริยะ</t>
  </si>
  <si>
    <t>สรุปอัตรางานแจ้งซ่อม สิงหาคม 69</t>
  </si>
  <si>
    <r>
      <t xml:space="preserve">สรุปอัตรางานแจ้งซ่อม สิงหาคม 69 </t>
    </r>
    <r>
      <rPr>
        <b/>
        <sz val="18"/>
        <color rgb="FFFF0000"/>
        <rFont val="Calibri"/>
        <family val="2"/>
        <scheme val="minor"/>
      </rPr>
      <t>1 Week</t>
    </r>
  </si>
  <si>
    <r>
      <t xml:space="preserve">สรุปอัตรางานแจ้งซ่อม สิงหาคม 69 </t>
    </r>
    <r>
      <rPr>
        <b/>
        <sz val="18"/>
        <color rgb="FFFF0000"/>
        <rFont val="Calibri"/>
        <family val="2"/>
        <scheme val="minor"/>
      </rPr>
      <t>2 Week</t>
    </r>
  </si>
  <si>
    <r>
      <t xml:space="preserve">สรุปอัตรางานแจ้งซ่อม สิงหาคม 69 </t>
    </r>
    <r>
      <rPr>
        <b/>
        <sz val="18"/>
        <color rgb="FFFF0000"/>
        <rFont val="Calibri"/>
        <family val="2"/>
        <scheme val="minor"/>
      </rPr>
      <t>3 Week</t>
    </r>
  </si>
  <si>
    <r>
      <t xml:space="preserve">สรุปอัตรางานแจ้งซ่อม สิงหาคม 69 </t>
    </r>
    <r>
      <rPr>
        <b/>
        <sz val="18"/>
        <color rgb="FFFF0000"/>
        <rFont val="Calibri"/>
        <family val="2"/>
        <scheme val="minor"/>
      </rPr>
      <t>4 Week</t>
    </r>
  </si>
  <si>
    <t>เดือน สิงหาคม 2569</t>
  </si>
  <si>
    <t>ห้องแรก ด่วนๆ</t>
  </si>
  <si>
    <t>ขอบคิ้วโถ่งลิฟต์ชั้น11หลุด</t>
  </si>
  <si>
    <t>ยางขอบประตูหลุด</t>
  </si>
  <si>
    <t>ห้องEE7</t>
  </si>
  <si>
    <t>สายไฟไม่เรียบร้อยห้องวิระยะ</t>
  </si>
  <si>
    <t>ประตูตู้เก็บของตู้พับหลัโต๊ะรีเซปหลุด</t>
  </si>
  <si>
    <t>หลังโต๊ะรีเซป</t>
  </si>
  <si>
    <t>ฝักบัวห้องน้ำหญิงน้ำไม่ไหล</t>
  </si>
  <si>
    <t>ห้องน้ำหญิงด้านนอก</t>
  </si>
  <si>
    <t>อุปกรณในฟิตเนสมีปัญหา</t>
  </si>
  <si>
    <t>ห้องฟิตเนสชั้น14</t>
  </si>
  <si>
    <t>ฝ้าบริเวณม่านชั้น14 ในห้องฟิตเนส</t>
  </si>
  <si>
    <t>Landscape ไม่ติด (บริเวณกำแพงหน้าศาลพระภูมิ)</t>
  </si>
  <si>
    <t>ประตูห้องประชุมชั้น5ล็อคไม่ได้</t>
  </si>
  <si>
    <t>ตรวจสอบวาล์วห้องอาบน้ำ</t>
  </si>
  <si>
    <t>หลอดไฟหน้ากระจกไม่ติดชั้น9</t>
  </si>
  <si>
    <t>ขอบคิ้วหลุดชั้น6ลิฟต์กลาง</t>
  </si>
  <si>
    <t>ขอบคิ้วหลุดชั้น5ลิฟต์กลาง</t>
  </si>
  <si>
    <t>ตัวยึดโช๊คประตูFiremanหลุดชั้นG</t>
  </si>
  <si>
    <t>แอร์ห้องน้ำชายชั้นGไม่ติด</t>
  </si>
  <si>
    <t>น้ำหยดท่อน้ำดีชักโครกห้องน้ำชายชั้น6</t>
  </si>
  <si>
    <t>ท่อปั้มน้ำพุรั่ว</t>
  </si>
  <si>
    <t>ฟิวส์พัดลมตู้ KMF ขาด 1 ตัว</t>
  </si>
  <si>
    <t>น้ำหยดลงปลั๊กไฟในห้องถ่ายเอกสาร ชั้น7</t>
  </si>
  <si>
    <t>น้ำหยดลงปลั๊กไฟในห้องถ่ายเอกสาร ชั้น8</t>
  </si>
  <si>
    <t>พนักงานชั้น8</t>
  </si>
  <si>
    <t>เครื่องดูดฝุ่นชำรุด</t>
  </si>
  <si>
    <t>ห้องน้ำคุณไบร์ทโถปัสสาวะไหลแรงชั้น15</t>
  </si>
  <si>
    <t>ก็อกน้ำไม่ไหล ห้องน้ำคนพิการ</t>
  </si>
  <si>
    <t>ห้องน้ำคนพิการ</t>
  </si>
  <si>
    <t>ไฟบริเวณพื้นไม่ติด</t>
  </si>
  <si>
    <t>พื้นบริเวณร้าน perfect shot</t>
  </si>
  <si>
    <t>จำนวนครั้งที่แก้ไข</t>
  </si>
  <si>
    <t>สายฉีดชำระน้ำรั่วซึม</t>
  </si>
  <si>
    <t>ห้องน้ำหญิงห้องในสุด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</si>
</sst>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[$-101041E]d\ mmm\ yy;@"/>
  </numFmts>
  <fonts count="48">
    <font>
      <sz val="11"/>
      <color theme="1"/>
      <name val="Calibri"/>
      <charset val="22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Muangthaicap Modern Medium"/>
      <charset val="134"/>
    </font>
    <font>
      <sz val="11"/>
      <color theme="1"/>
      <name val="Muangthaicap Modern Medium"/>
      <charset val="134"/>
    </font>
    <font>
      <b/>
      <sz val="11"/>
      <name val="Muangthaicap Modern Medium"/>
      <charset val="134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Muangthaicap Modern Medium"/>
      <charset val="134"/>
    </font>
    <font>
      <sz val="8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color rgb="FFFF0000"/>
      <name val="Muangthaicap Modern Medium"/>
      <charset val="134"/>
    </font>
    <font>
      <sz val="10"/>
      <color theme="1"/>
      <name val="Muangthaicap Modern Medium"/>
      <charset val="134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Muangthaicap Modern Medium"/>
      <charset val="222"/>
    </font>
    <font>
      <b/>
      <sz val="11"/>
      <color theme="1"/>
      <name val="Muangthaicap Modern Medium"/>
      <charset val="22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6"/>
      <color theme="1"/>
      <name val="Calibri"/>
      <family val="2"/>
      <scheme val="minor"/>
    </font>
    <font>
      <sz val="11"/>
      <color theme="1"/>
      <name val="Muangthaicap Modern Medium"/>
    </font>
    <font>
      <sz val="11"/>
      <color rgb="FFFF0000"/>
      <name val="Muangthaicap Modern Medium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charset val="134"/>
      <scheme val="minor"/>
    </font>
    <font>
      <b/>
      <sz val="18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AE8AA"/>
        <bgColor indexed="64"/>
      </patternFill>
    </fill>
    <fill>
      <patternFill patternType="solid">
        <fgColor rgb="FFFFFF4F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/>
      </left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theme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</borders>
  <cellStyleXfs count="4">
    <xf numFmtId="0" fontId="0" fillId="0" borderId="0"/>
    <xf numFmtId="9" fontId="38" fillId="0" borderId="0" applyFont="0" applyFill="0" applyBorder="0" applyAlignment="0" applyProtection="0"/>
    <xf numFmtId="0" fontId="10" fillId="0" borderId="0"/>
    <xf numFmtId="43" fontId="38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13" borderId="24" xfId="0" applyFont="1" applyFill="1" applyBorder="1" applyAlignment="1">
      <alignment horizontal="center"/>
    </xf>
    <xf numFmtId="0" fontId="4" fillId="0" borderId="24" xfId="0" applyFont="1" applyBorder="1" applyAlignment="1">
      <alignment horizontal="right"/>
    </xf>
    <xf numFmtId="0" fontId="4" fillId="0" borderId="24" xfId="0" applyFont="1" applyBorder="1" applyAlignment="1">
      <alignment horizontal="center"/>
    </xf>
    <xf numFmtId="0" fontId="4" fillId="14" borderId="24" xfId="0" applyFont="1" applyFill="1" applyBorder="1" applyAlignment="1">
      <alignment horizontal="right"/>
    </xf>
    <xf numFmtId="0" fontId="4" fillId="14" borderId="24" xfId="0" applyFont="1" applyFill="1" applyBorder="1" applyAlignment="1">
      <alignment horizontal="center"/>
    </xf>
    <xf numFmtId="0" fontId="4" fillId="11" borderId="24" xfId="0" applyFont="1" applyFill="1" applyBorder="1" applyAlignment="1">
      <alignment horizontal="right"/>
    </xf>
    <xf numFmtId="0" fontId="4" fillId="11" borderId="24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right" vertical="center"/>
    </xf>
    <xf numFmtId="0" fontId="4" fillId="2" borderId="24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/>
    </xf>
    <xf numFmtId="0" fontId="4" fillId="0" borderId="29" xfId="0" applyFont="1" applyBorder="1"/>
    <xf numFmtId="0" fontId="4" fillId="12" borderId="29" xfId="0" applyFont="1" applyFill="1" applyBorder="1" applyAlignment="1">
      <alignment horizontal="center" vertical="center"/>
    </xf>
    <xf numFmtId="0" fontId="4" fillId="12" borderId="30" xfId="0" applyFont="1" applyFill="1" applyBorder="1" applyAlignment="1">
      <alignment horizontal="center"/>
    </xf>
    <xf numFmtId="0" fontId="4" fillId="12" borderId="31" xfId="0" applyFont="1" applyFill="1" applyBorder="1" applyAlignment="1">
      <alignment horizontal="center"/>
    </xf>
    <xf numFmtId="0" fontId="13" fillId="0" borderId="0" xfId="0" applyFont="1"/>
    <xf numFmtId="0" fontId="13" fillId="12" borderId="29" xfId="0" applyFont="1" applyFill="1" applyBorder="1" applyAlignment="1">
      <alignment horizontal="center" vertical="center"/>
    </xf>
    <xf numFmtId="0" fontId="13" fillId="12" borderId="32" xfId="0" applyFont="1" applyFill="1" applyBorder="1"/>
    <xf numFmtId="0" fontId="14" fillId="0" borderId="0" xfId="0" applyFont="1"/>
    <xf numFmtId="0" fontId="4" fillId="0" borderId="31" xfId="0" applyFont="1" applyBorder="1"/>
    <xf numFmtId="0" fontId="4" fillId="0" borderId="34" xfId="0" applyFont="1" applyBorder="1" applyAlignment="1">
      <alignment horizontal="center"/>
    </xf>
    <xf numFmtId="0" fontId="4" fillId="0" borderId="35" xfId="0" applyFont="1" applyBorder="1"/>
    <xf numFmtId="0" fontId="13" fillId="12" borderId="36" xfId="0" applyFont="1" applyFill="1" applyBorder="1" applyAlignment="1">
      <alignment horizontal="center"/>
    </xf>
    <xf numFmtId="0" fontId="13" fillId="0" borderId="29" xfId="0" applyFont="1" applyBorder="1"/>
    <xf numFmtId="3" fontId="15" fillId="0" borderId="29" xfId="0" applyNumberFormat="1" applyFont="1" applyBorder="1"/>
    <xf numFmtId="0" fontId="13" fillId="0" borderId="0" xfId="0" applyFont="1" applyAlignment="1">
      <alignment horizontal="left"/>
    </xf>
    <xf numFmtId="0" fontId="16" fillId="4" borderId="0" xfId="0" applyFont="1" applyFill="1"/>
    <xf numFmtId="0" fontId="13" fillId="12" borderId="29" xfId="0" applyFont="1" applyFill="1" applyBorder="1" applyAlignment="1">
      <alignment horizontal="center"/>
    </xf>
    <xf numFmtId="0" fontId="12" fillId="0" borderId="0" xfId="0" applyFont="1"/>
    <xf numFmtId="0" fontId="10" fillId="0" borderId="0" xfId="0" applyFont="1"/>
    <xf numFmtId="0" fontId="5" fillId="5" borderId="2" xfId="0" applyFont="1" applyFill="1" applyBorder="1"/>
    <xf numFmtId="0" fontId="5" fillId="5" borderId="3" xfId="0" applyFont="1" applyFill="1" applyBorder="1"/>
    <xf numFmtId="0" fontId="5" fillId="5" borderId="4" xfId="0" applyFont="1" applyFill="1" applyBorder="1"/>
    <xf numFmtId="0" fontId="4" fillId="0" borderId="5" xfId="0" applyFont="1" applyBorder="1"/>
    <xf numFmtId="0" fontId="4" fillId="0" borderId="1" xfId="0" applyFont="1" applyBorder="1"/>
    <xf numFmtId="0" fontId="4" fillId="0" borderId="6" xfId="0" applyFont="1" applyBorder="1"/>
    <xf numFmtId="0" fontId="17" fillId="0" borderId="9" xfId="0" applyFont="1" applyBorder="1"/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8" fillId="4" borderId="38" xfId="0" applyFont="1" applyFill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10" fillId="0" borderId="38" xfId="0" applyFont="1" applyBorder="1" applyAlignment="1">
      <alignment vertical="center"/>
    </xf>
    <xf numFmtId="9" fontId="8" fillId="0" borderId="38" xfId="1" applyFont="1" applyFill="1" applyBorder="1" applyAlignment="1">
      <alignment vertical="center"/>
    </xf>
    <xf numFmtId="9" fontId="8" fillId="0" borderId="38" xfId="1" applyFont="1" applyBorder="1" applyAlignment="1">
      <alignment vertical="center"/>
    </xf>
    <xf numFmtId="0" fontId="8" fillId="16" borderId="38" xfId="0" applyFont="1" applyFill="1" applyBorder="1" applyAlignment="1">
      <alignment horizontal="left" vertical="center"/>
    </xf>
    <xf numFmtId="0" fontId="8" fillId="16" borderId="38" xfId="0" applyFont="1" applyFill="1" applyBorder="1" applyAlignment="1">
      <alignment vertical="center"/>
    </xf>
    <xf numFmtId="9" fontId="8" fillId="16" borderId="38" xfId="1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8" fillId="17" borderId="38" xfId="0" applyFont="1" applyFill="1" applyBorder="1" applyAlignment="1">
      <alignment vertical="center"/>
    </xf>
    <xf numFmtId="9" fontId="0" fillId="0" borderId="0" xfId="1" applyFont="1" applyAlignment="1">
      <alignment vertical="center"/>
    </xf>
    <xf numFmtId="0" fontId="8" fillId="18" borderId="38" xfId="0" applyFont="1" applyFill="1" applyBorder="1" applyAlignment="1">
      <alignment horizontal="left" vertical="center"/>
    </xf>
    <xf numFmtId="0" fontId="8" fillId="19" borderId="38" xfId="0" applyFont="1" applyFill="1" applyBorder="1" applyAlignment="1">
      <alignment horizontal="right" vertical="center"/>
    </xf>
    <xf numFmtId="0" fontId="8" fillId="10" borderId="38" xfId="0" applyFont="1" applyFill="1" applyBorder="1" applyAlignment="1">
      <alignment horizontal="left" vertical="center"/>
    </xf>
    <xf numFmtId="0" fontId="8" fillId="20" borderId="38" xfId="0" applyFont="1" applyFill="1" applyBorder="1" applyAlignment="1">
      <alignment horizontal="right" vertical="center"/>
    </xf>
    <xf numFmtId="0" fontId="18" fillId="7" borderId="38" xfId="0" applyFont="1" applyFill="1" applyBorder="1"/>
    <xf numFmtId="0" fontId="8" fillId="7" borderId="38" xfId="0" applyFont="1" applyFill="1" applyBorder="1"/>
    <xf numFmtId="9" fontId="0" fillId="0" borderId="0" xfId="1" applyFont="1"/>
    <xf numFmtId="9" fontId="20" fillId="0" borderId="38" xfId="1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10" fillId="0" borderId="0" xfId="2" applyAlignment="1">
      <alignment vertical="center"/>
    </xf>
    <xf numFmtId="0" fontId="10" fillId="0" borderId="0" xfId="2"/>
    <xf numFmtId="0" fontId="10" fillId="0" borderId="0" xfId="2" applyAlignment="1">
      <alignment horizontal="center"/>
    </xf>
    <xf numFmtId="165" fontId="10" fillId="0" borderId="0" xfId="2" applyNumberFormat="1"/>
    <xf numFmtId="0" fontId="23" fillId="21" borderId="17" xfId="2" applyFont="1" applyFill="1" applyBorder="1"/>
    <xf numFmtId="0" fontId="23" fillId="21" borderId="18" xfId="2" applyFont="1" applyFill="1" applyBorder="1" applyAlignment="1">
      <alignment horizontal="left"/>
    </xf>
    <xf numFmtId="0" fontId="23" fillId="21" borderId="18" xfId="2" applyFont="1" applyFill="1" applyBorder="1" applyAlignment="1">
      <alignment horizontal="center"/>
    </xf>
    <xf numFmtId="0" fontId="23" fillId="21" borderId="18" xfId="2" applyFont="1" applyFill="1" applyBorder="1" applyAlignment="1">
      <alignment horizontal="center" vertical="center"/>
    </xf>
    <xf numFmtId="165" fontId="23" fillId="21" borderId="18" xfId="2" applyNumberFormat="1" applyFont="1" applyFill="1" applyBorder="1" applyAlignment="1">
      <alignment horizontal="center"/>
    </xf>
    <xf numFmtId="10" fontId="23" fillId="21" borderId="18" xfId="2" applyNumberFormat="1" applyFont="1" applyFill="1" applyBorder="1" applyAlignment="1">
      <alignment horizontal="center"/>
    </xf>
    <xf numFmtId="165" fontId="23" fillId="21" borderId="19" xfId="2" applyNumberFormat="1" applyFont="1" applyFill="1" applyBorder="1" applyAlignment="1">
      <alignment horizontal="center"/>
    </xf>
    <xf numFmtId="0" fontId="10" fillId="0" borderId="16" xfId="2" applyBorder="1" applyAlignment="1">
      <alignment vertical="center"/>
    </xf>
    <xf numFmtId="0" fontId="10" fillId="0" borderId="20" xfId="2" applyBorder="1" applyAlignment="1">
      <alignment vertical="center"/>
    </xf>
    <xf numFmtId="0" fontId="10" fillId="0" borderId="20" xfId="2" applyBorder="1" applyAlignment="1">
      <alignment horizontal="left" vertical="center"/>
    </xf>
    <xf numFmtId="0" fontId="10" fillId="0" borderId="20" xfId="2" applyBorder="1" applyAlignment="1">
      <alignment horizontal="center" vertical="center"/>
    </xf>
    <xf numFmtId="165" fontId="10" fillId="0" borderId="20" xfId="2" applyNumberFormat="1" applyBorder="1" applyAlignment="1">
      <alignment vertical="center"/>
    </xf>
    <xf numFmtId="10" fontId="10" fillId="0" borderId="20" xfId="2" applyNumberFormat="1" applyBorder="1" applyAlignment="1">
      <alignment horizontal="center" vertical="center"/>
    </xf>
    <xf numFmtId="165" fontId="10" fillId="0" borderId="14" xfId="2" applyNumberFormat="1" applyBorder="1" applyAlignment="1">
      <alignment vertical="center"/>
    </xf>
    <xf numFmtId="10" fontId="10" fillId="0" borderId="7" xfId="2" applyNumberFormat="1" applyBorder="1" applyAlignment="1">
      <alignment horizontal="center" vertical="center"/>
    </xf>
    <xf numFmtId="0" fontId="10" fillId="0" borderId="20" xfId="2" applyBorder="1" applyAlignment="1">
      <alignment vertical="center" wrapText="1"/>
    </xf>
    <xf numFmtId="0" fontId="10" fillId="0" borderId="16" xfId="2" applyBorder="1"/>
    <xf numFmtId="0" fontId="10" fillId="0" borderId="20" xfId="2" applyBorder="1"/>
    <xf numFmtId="165" fontId="10" fillId="0" borderId="20" xfId="2" applyNumberFormat="1" applyBorder="1"/>
    <xf numFmtId="165" fontId="10" fillId="0" borderId="14" xfId="2" applyNumberFormat="1" applyBorder="1"/>
    <xf numFmtId="0" fontId="10" fillId="0" borderId="21" xfId="2" applyBorder="1"/>
    <xf numFmtId="0" fontId="10" fillId="0" borderId="22" xfId="2" applyBorder="1"/>
    <xf numFmtId="0" fontId="10" fillId="0" borderId="22" xfId="2" applyBorder="1" applyAlignment="1">
      <alignment vertical="center"/>
    </xf>
    <xf numFmtId="0" fontId="10" fillId="0" borderId="22" xfId="2" applyBorder="1" applyAlignment="1">
      <alignment horizontal="center" vertical="center"/>
    </xf>
    <xf numFmtId="165" fontId="10" fillId="0" borderId="22" xfId="2" applyNumberFormat="1" applyBorder="1"/>
    <xf numFmtId="165" fontId="10" fillId="0" borderId="23" xfId="2" applyNumberFormat="1" applyBorder="1"/>
    <xf numFmtId="0" fontId="23" fillId="21" borderId="17" xfId="2" applyFont="1" applyFill="1" applyBorder="1" applyAlignment="1">
      <alignment vertical="center"/>
    </xf>
    <xf numFmtId="0" fontId="23" fillId="21" borderId="18" xfId="2" applyFont="1" applyFill="1" applyBorder="1" applyAlignment="1">
      <alignment horizontal="left" vertical="center"/>
    </xf>
    <xf numFmtId="165" fontId="23" fillId="21" borderId="18" xfId="2" applyNumberFormat="1" applyFont="1" applyFill="1" applyBorder="1" applyAlignment="1">
      <alignment horizontal="center" vertical="center"/>
    </xf>
    <xf numFmtId="10" fontId="23" fillId="21" borderId="18" xfId="2" applyNumberFormat="1" applyFont="1" applyFill="1" applyBorder="1" applyAlignment="1">
      <alignment horizontal="center" vertical="center"/>
    </xf>
    <xf numFmtId="165" fontId="23" fillId="21" borderId="28" xfId="2" applyNumberFormat="1" applyFont="1" applyFill="1" applyBorder="1" applyAlignment="1">
      <alignment horizontal="center" vertical="center"/>
    </xf>
    <xf numFmtId="165" fontId="10" fillId="0" borderId="20" xfId="2" applyNumberFormat="1" applyBorder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0" fillId="0" borderId="0" xfId="2" applyAlignment="1">
      <alignment horizontal="center" vertical="center"/>
    </xf>
    <xf numFmtId="0" fontId="8" fillId="0" borderId="0" xfId="2" applyFont="1"/>
    <xf numFmtId="10" fontId="8" fillId="0" borderId="0" xfId="2" applyNumberFormat="1" applyFont="1"/>
    <xf numFmtId="165" fontId="10" fillId="0" borderId="20" xfId="2" applyNumberFormat="1" applyBorder="1" applyAlignment="1">
      <alignment horizontal="center"/>
    </xf>
    <xf numFmtId="0" fontId="10" fillId="0" borderId="1" xfId="2" applyBorder="1" applyAlignment="1">
      <alignment vertical="center"/>
    </xf>
    <xf numFmtId="165" fontId="10" fillId="0" borderId="1" xfId="2" applyNumberFormat="1" applyBorder="1" applyAlignment="1">
      <alignment horizontal="center" vertical="center"/>
    </xf>
    <xf numFmtId="10" fontId="10" fillId="0" borderId="1" xfId="2" applyNumberFormat="1" applyBorder="1" applyAlignment="1">
      <alignment horizontal="center" vertical="center"/>
    </xf>
    <xf numFmtId="0" fontId="10" fillId="0" borderId="1" xfId="2" applyBorder="1"/>
    <xf numFmtId="165" fontId="10" fillId="0" borderId="1" xfId="2" applyNumberFormat="1" applyBorder="1" applyAlignment="1">
      <alignment horizontal="center"/>
    </xf>
    <xf numFmtId="0" fontId="10" fillId="0" borderId="7" xfId="2" applyBorder="1" applyAlignment="1">
      <alignment horizontal="center" vertical="center"/>
    </xf>
    <xf numFmtId="0" fontId="10" fillId="0" borderId="7" xfId="2" applyBorder="1"/>
    <xf numFmtId="0" fontId="10" fillId="0" borderId="22" xfId="2" applyBorder="1" applyAlignment="1">
      <alignment horizontal="left" vertical="center"/>
    </xf>
    <xf numFmtId="165" fontId="10" fillId="0" borderId="7" xfId="2" applyNumberFormat="1" applyBorder="1" applyAlignment="1">
      <alignment horizontal="center"/>
    </xf>
    <xf numFmtId="0" fontId="10" fillId="0" borderId="1" xfId="2" applyBorder="1" applyAlignment="1">
      <alignment horizontal="left" vertical="center"/>
    </xf>
    <xf numFmtId="0" fontId="10" fillId="0" borderId="41" xfId="2" applyBorder="1" applyAlignment="1">
      <alignment vertical="center"/>
    </xf>
    <xf numFmtId="0" fontId="10" fillId="0" borderId="7" xfId="2" applyBorder="1" applyAlignment="1">
      <alignment vertical="center"/>
    </xf>
    <xf numFmtId="165" fontId="10" fillId="0" borderId="7" xfId="2" applyNumberFormat="1" applyBorder="1" applyAlignment="1">
      <alignment horizontal="center" vertical="center"/>
    </xf>
    <xf numFmtId="0" fontId="10" fillId="0" borderId="1" xfId="2" applyBorder="1" applyAlignment="1">
      <alignment horizontal="center"/>
    </xf>
    <xf numFmtId="0" fontId="10" fillId="0" borderId="42" xfId="2" applyBorder="1" applyAlignment="1">
      <alignment vertical="center"/>
    </xf>
    <xf numFmtId="0" fontId="21" fillId="21" borderId="17" xfId="2" applyFont="1" applyFill="1" applyBorder="1" applyAlignment="1">
      <alignment horizontal="center" vertical="center"/>
    </xf>
    <xf numFmtId="0" fontId="21" fillId="21" borderId="18" xfId="2" applyFont="1" applyFill="1" applyBorder="1" applyAlignment="1">
      <alignment horizontal="center" vertical="center"/>
    </xf>
    <xf numFmtId="165" fontId="21" fillId="21" borderId="18" xfId="2" applyNumberFormat="1" applyFont="1" applyFill="1" applyBorder="1" applyAlignment="1">
      <alignment horizontal="center" vertical="center"/>
    </xf>
    <xf numFmtId="10" fontId="21" fillId="21" borderId="18" xfId="2" applyNumberFormat="1" applyFont="1" applyFill="1" applyBorder="1" applyAlignment="1">
      <alignment horizontal="center" vertical="center"/>
    </xf>
    <xf numFmtId="165" fontId="21" fillId="21" borderId="28" xfId="2" applyNumberFormat="1" applyFont="1" applyFill="1" applyBorder="1" applyAlignment="1">
      <alignment horizontal="center" vertical="center"/>
    </xf>
    <xf numFmtId="0" fontId="23" fillId="0" borderId="20" xfId="2" applyFont="1" applyBorder="1" applyAlignment="1">
      <alignment vertical="center"/>
    </xf>
    <xf numFmtId="0" fontId="23" fillId="0" borderId="20" xfId="2" applyFont="1" applyBorder="1" applyAlignment="1">
      <alignment horizontal="left" vertical="center"/>
    </xf>
    <xf numFmtId="0" fontId="23" fillId="0" borderId="20" xfId="2" applyFont="1" applyBorder="1" applyAlignment="1">
      <alignment horizontal="center" vertical="center"/>
    </xf>
    <xf numFmtId="165" fontId="23" fillId="0" borderId="20" xfId="2" applyNumberFormat="1" applyFont="1" applyBorder="1" applyAlignment="1">
      <alignment horizontal="center" vertical="center"/>
    </xf>
    <xf numFmtId="10" fontId="23" fillId="0" borderId="20" xfId="2" applyNumberFormat="1" applyFont="1" applyBorder="1" applyAlignment="1">
      <alignment horizontal="center" vertical="center"/>
    </xf>
    <xf numFmtId="0" fontId="23" fillId="0" borderId="1" xfId="2" applyFont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1" fillId="21" borderId="1" xfId="2" applyFont="1" applyFill="1" applyBorder="1" applyAlignment="1">
      <alignment horizontal="center" vertical="center"/>
    </xf>
    <xf numFmtId="165" fontId="21" fillId="21" borderId="1" xfId="2" applyNumberFormat="1" applyFont="1" applyFill="1" applyBorder="1" applyAlignment="1">
      <alignment horizontal="center" vertical="center"/>
    </xf>
    <xf numFmtId="10" fontId="21" fillId="21" borderId="1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9" fillId="5" borderId="38" xfId="0" applyFont="1" applyFill="1" applyBorder="1" applyAlignment="1">
      <alignment vertical="center"/>
    </xf>
    <xf numFmtId="0" fontId="10" fillId="5" borderId="38" xfId="0" applyFont="1" applyFill="1" applyBorder="1" applyAlignment="1">
      <alignment vertical="center"/>
    </xf>
    <xf numFmtId="9" fontId="8" fillId="5" borderId="38" xfId="1" applyFont="1" applyFill="1" applyBorder="1" applyAlignment="1">
      <alignment vertical="center"/>
    </xf>
    <xf numFmtId="0" fontId="8" fillId="5" borderId="38" xfId="0" applyFont="1" applyFill="1" applyBorder="1" applyAlignment="1">
      <alignment vertical="center"/>
    </xf>
    <xf numFmtId="0" fontId="29" fillId="0" borderId="38" xfId="0" applyFont="1" applyBorder="1" applyAlignment="1">
      <alignment vertical="center"/>
    </xf>
    <xf numFmtId="9" fontId="20" fillId="0" borderId="38" xfId="1" applyFont="1" applyBorder="1" applyAlignment="1">
      <alignment vertical="center"/>
    </xf>
    <xf numFmtId="0" fontId="8" fillId="4" borderId="38" xfId="0" applyFont="1" applyFill="1" applyBorder="1" applyAlignment="1">
      <alignment vertical="center"/>
    </xf>
    <xf numFmtId="0" fontId="19" fillId="16" borderId="38" xfId="0" applyFont="1" applyFill="1" applyBorder="1" applyAlignment="1">
      <alignment horizontal="left" vertical="center"/>
    </xf>
    <xf numFmtId="0" fontId="8" fillId="22" borderId="38" xfId="0" applyFont="1" applyFill="1" applyBorder="1" applyAlignment="1">
      <alignment vertical="center"/>
    </xf>
    <xf numFmtId="0" fontId="19" fillId="3" borderId="38" xfId="0" applyFont="1" applyFill="1" applyBorder="1" applyAlignment="1">
      <alignment horizontal="left" vertical="center"/>
    </xf>
    <xf numFmtId="0" fontId="19" fillId="18" borderId="38" xfId="0" applyFont="1" applyFill="1" applyBorder="1" applyAlignment="1">
      <alignment horizontal="left" vertical="center"/>
    </xf>
    <xf numFmtId="0" fontId="19" fillId="10" borderId="38" xfId="0" applyFont="1" applyFill="1" applyBorder="1" applyAlignment="1">
      <alignment horizontal="left" vertical="center"/>
    </xf>
    <xf numFmtId="0" fontId="19" fillId="7" borderId="38" xfId="0" applyFont="1" applyFill="1" applyBorder="1"/>
    <xf numFmtId="0" fontId="0" fillId="5" borderId="38" xfId="0" applyFill="1" applyBorder="1" applyAlignment="1">
      <alignment vertical="center"/>
    </xf>
    <xf numFmtId="0" fontId="8" fillId="5" borderId="0" xfId="0" applyFon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16" borderId="0" xfId="0" applyFont="1" applyFill="1" applyAlignment="1">
      <alignment horizontal="right" vertical="center"/>
    </xf>
    <xf numFmtId="0" fontId="0" fillId="0" borderId="38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9" fillId="0" borderId="0" xfId="0" applyFont="1"/>
    <xf numFmtId="0" fontId="21" fillId="0" borderId="38" xfId="0" applyFont="1" applyBorder="1" applyAlignment="1">
      <alignment horizontal="right" vertical="center"/>
    </xf>
    <xf numFmtId="0" fontId="8" fillId="16" borderId="38" xfId="0" applyFont="1" applyFill="1" applyBorder="1" applyAlignment="1">
      <alignment horizontal="right" vertic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2" fillId="16" borderId="1" xfId="0" applyFont="1" applyFill="1" applyBorder="1" applyAlignment="1">
      <alignment horizontal="center" vertical="center"/>
    </xf>
    <xf numFmtId="0" fontId="42" fillId="4" borderId="1" xfId="0" applyFont="1" applyFill="1" applyBorder="1" applyAlignment="1">
      <alignment horizontal="center" vertical="center"/>
    </xf>
    <xf numFmtId="0" fontId="42" fillId="25" borderId="1" xfId="0" applyFont="1" applyFill="1" applyBorder="1" applyAlignment="1">
      <alignment vertical="center"/>
    </xf>
    <xf numFmtId="0" fontId="42" fillId="25" borderId="1" xfId="0" applyFont="1" applyFill="1" applyBorder="1" applyAlignment="1">
      <alignment horizontal="center" vertical="center"/>
    </xf>
    <xf numFmtId="0" fontId="43" fillId="25" borderId="1" xfId="0" applyFont="1" applyFill="1" applyBorder="1" applyAlignment="1">
      <alignment horizontal="center" vertical="center"/>
    </xf>
    <xf numFmtId="0" fontId="42" fillId="16" borderId="6" xfId="0" applyFont="1" applyFill="1" applyBorder="1" applyAlignment="1">
      <alignment vertical="center"/>
    </xf>
    <xf numFmtId="0" fontId="43" fillId="16" borderId="5" xfId="0" applyFont="1" applyFill="1" applyBorder="1" applyAlignment="1">
      <alignment horizontal="center" vertical="center"/>
    </xf>
    <xf numFmtId="0" fontId="42" fillId="16" borderId="5" xfId="0" applyFont="1" applyFill="1" applyBorder="1" applyAlignment="1">
      <alignment horizontal="center" vertical="center"/>
    </xf>
    <xf numFmtId="0" fontId="40" fillId="0" borderId="1" xfId="2" applyFont="1" applyBorder="1" applyAlignment="1">
      <alignment vertical="center"/>
    </xf>
    <xf numFmtId="0" fontId="23" fillId="0" borderId="1" xfId="2" applyFont="1" applyBorder="1" applyAlignment="1">
      <alignment vertical="center"/>
    </xf>
    <xf numFmtId="0" fontId="23" fillId="0" borderId="1" xfId="2" applyFont="1" applyBorder="1" applyAlignment="1">
      <alignment horizontal="left" vertical="center"/>
    </xf>
    <xf numFmtId="165" fontId="23" fillId="0" borderId="1" xfId="2" applyNumberFormat="1" applyFont="1" applyBorder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0" fillId="0" borderId="7" xfId="2" applyBorder="1" applyAlignment="1">
      <alignment horizontal="left" vertical="center"/>
    </xf>
    <xf numFmtId="0" fontId="39" fillId="16" borderId="0" xfId="0" applyFont="1" applyFill="1" applyAlignment="1">
      <alignment vertical="center"/>
    </xf>
    <xf numFmtId="0" fontId="44" fillId="0" borderId="38" xfId="0" applyFont="1" applyBorder="1" applyAlignment="1">
      <alignment vertical="center"/>
    </xf>
    <xf numFmtId="0" fontId="11" fillId="0" borderId="0" xfId="2" applyFont="1" applyAlignment="1">
      <alignment horizontal="center" vertical="center"/>
    </xf>
    <xf numFmtId="165" fontId="21" fillId="0" borderId="0" xfId="2" applyNumberFormat="1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0" fontId="46" fillId="21" borderId="1" xfId="2" applyFont="1" applyFill="1" applyBorder="1" applyAlignment="1">
      <alignment horizontal="center" vertical="center"/>
    </xf>
    <xf numFmtId="10" fontId="10" fillId="0" borderId="0" xfId="2" applyNumberFormat="1" applyAlignment="1">
      <alignment horizontal="center"/>
    </xf>
    <xf numFmtId="165" fontId="46" fillId="21" borderId="1" xfId="2" applyNumberFormat="1" applyFont="1" applyFill="1" applyBorder="1" applyAlignment="1">
      <alignment horizontal="center" vertical="center"/>
    </xf>
    <xf numFmtId="0" fontId="44" fillId="0" borderId="0" xfId="0" applyFont="1"/>
    <xf numFmtId="0" fontId="21" fillId="0" borderId="38" xfId="0" applyFont="1" applyBorder="1" applyAlignment="1">
      <alignment horizontal="center" vertical="center"/>
    </xf>
    <xf numFmtId="0" fontId="40" fillId="0" borderId="7" xfId="2" applyFont="1" applyBorder="1" applyAlignment="1">
      <alignment vertical="center"/>
    </xf>
    <xf numFmtId="0" fontId="2" fillId="0" borderId="7" xfId="2" applyFont="1" applyBorder="1" applyAlignment="1">
      <alignment vertical="center"/>
    </xf>
    <xf numFmtId="0" fontId="40" fillId="0" borderId="7" xfId="2" applyFont="1" applyBorder="1" applyAlignment="1">
      <alignment horizontal="center" vertical="center"/>
    </xf>
    <xf numFmtId="43" fontId="2" fillId="0" borderId="1" xfId="3" applyFont="1" applyFill="1" applyBorder="1" applyAlignment="1">
      <alignment vertical="center"/>
    </xf>
    <xf numFmtId="43" fontId="2" fillId="0" borderId="7" xfId="3" applyFont="1" applyFill="1" applyBorder="1" applyAlignment="1">
      <alignment vertical="center"/>
    </xf>
    <xf numFmtId="0" fontId="0" fillId="23" borderId="0" xfId="0" applyFill="1"/>
    <xf numFmtId="9" fontId="0" fillId="23" borderId="0" xfId="1" applyFont="1" applyFill="1"/>
    <xf numFmtId="0" fontId="18" fillId="23" borderId="0" xfId="0" applyFont="1" applyFill="1"/>
    <xf numFmtId="0" fontId="8" fillId="23" borderId="0" xfId="0" applyFont="1" applyFill="1"/>
    <xf numFmtId="43" fontId="2" fillId="0" borderId="7" xfId="3" applyFont="1" applyFill="1" applyBorder="1" applyAlignment="1">
      <alignment horizontal="left" vertical="center"/>
    </xf>
    <xf numFmtId="0" fontId="2" fillId="26" borderId="1" xfId="2" applyFont="1" applyFill="1" applyBorder="1" applyAlignment="1">
      <alignment vertical="center"/>
    </xf>
    <xf numFmtId="0" fontId="40" fillId="26" borderId="48" xfId="2" applyFont="1" applyFill="1" applyBorder="1" applyAlignment="1">
      <alignment vertical="center"/>
    </xf>
    <xf numFmtId="0" fontId="2" fillId="26" borderId="48" xfId="2" applyFont="1" applyFill="1" applyBorder="1" applyAlignment="1">
      <alignment horizontal="left" vertical="center"/>
    </xf>
    <xf numFmtId="0" fontId="2" fillId="26" borderId="48" xfId="2" applyFont="1" applyFill="1" applyBorder="1" applyAlignment="1">
      <alignment vertical="center"/>
    </xf>
    <xf numFmtId="0" fontId="2" fillId="26" borderId="48" xfId="2" applyFont="1" applyFill="1" applyBorder="1" applyAlignment="1">
      <alignment horizontal="center" vertical="center"/>
    </xf>
    <xf numFmtId="0" fontId="40" fillId="26" borderId="48" xfId="2" applyFont="1" applyFill="1" applyBorder="1" applyAlignment="1">
      <alignment horizontal="center" vertical="center"/>
    </xf>
    <xf numFmtId="165" fontId="2" fillId="26" borderId="1" xfId="2" applyNumberFormat="1" applyFont="1" applyFill="1" applyBorder="1" applyAlignment="1">
      <alignment horizontal="center" vertical="center"/>
    </xf>
    <xf numFmtId="10" fontId="2" fillId="26" borderId="48" xfId="2" applyNumberFormat="1" applyFont="1" applyFill="1" applyBorder="1" applyAlignment="1">
      <alignment horizontal="center" vertical="center"/>
    </xf>
    <xf numFmtId="165" fontId="2" fillId="26" borderId="48" xfId="2" applyNumberFormat="1" applyFont="1" applyFill="1" applyBorder="1" applyAlignment="1">
      <alignment horizontal="center" vertical="center"/>
    </xf>
    <xf numFmtId="0" fontId="2" fillId="0" borderId="1" xfId="2" applyFont="1" applyBorder="1" applyAlignment="1">
      <alignment vertical="center"/>
    </xf>
    <xf numFmtId="0" fontId="2" fillId="0" borderId="48" xfId="2" applyFont="1" applyBorder="1" applyAlignment="1">
      <alignment vertical="center"/>
    </xf>
    <xf numFmtId="0" fontId="2" fillId="0" borderId="48" xfId="2" applyFont="1" applyBorder="1" applyAlignment="1">
      <alignment horizontal="left" vertical="center"/>
    </xf>
    <xf numFmtId="0" fontId="40" fillId="0" borderId="48" xfId="2" applyFont="1" applyBorder="1" applyAlignment="1">
      <alignment vertical="center"/>
    </xf>
    <xf numFmtId="0" fontId="2" fillId="0" borderId="48" xfId="2" applyFont="1" applyBorder="1" applyAlignment="1">
      <alignment horizontal="center" vertical="center"/>
    </xf>
    <xf numFmtId="0" fontId="40" fillId="0" borderId="48" xfId="2" applyFont="1" applyBorder="1" applyAlignment="1">
      <alignment horizontal="center" vertical="center"/>
    </xf>
    <xf numFmtId="165" fontId="2" fillId="0" borderId="1" xfId="2" applyNumberFormat="1" applyFont="1" applyBorder="1" applyAlignment="1">
      <alignment horizontal="center" vertical="center"/>
    </xf>
    <xf numFmtId="10" fontId="2" fillId="0" borderId="48" xfId="2" applyNumberFormat="1" applyFont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0" fontId="21" fillId="21" borderId="2" xfId="2" applyFont="1" applyFill="1" applyBorder="1" applyAlignment="1">
      <alignment horizontal="center" vertical="center"/>
    </xf>
    <xf numFmtId="0" fontId="21" fillId="21" borderId="3" xfId="2" applyFont="1" applyFill="1" applyBorder="1" applyAlignment="1">
      <alignment horizontal="center" vertical="center"/>
    </xf>
    <xf numFmtId="165" fontId="21" fillId="21" borderId="3" xfId="2" applyNumberFormat="1" applyFont="1" applyFill="1" applyBorder="1" applyAlignment="1">
      <alignment horizontal="center" vertical="center"/>
    </xf>
    <xf numFmtId="0" fontId="46" fillId="21" borderId="3" xfId="2" applyFont="1" applyFill="1" applyBorder="1" applyAlignment="1">
      <alignment horizontal="center" vertical="center"/>
    </xf>
    <xf numFmtId="10" fontId="21" fillId="21" borderId="3" xfId="2" applyNumberFormat="1" applyFont="1" applyFill="1" applyBorder="1" applyAlignment="1">
      <alignment horizontal="center" vertical="center"/>
    </xf>
    <xf numFmtId="165" fontId="46" fillId="21" borderId="3" xfId="2" applyNumberFormat="1" applyFont="1" applyFill="1" applyBorder="1" applyAlignment="1">
      <alignment horizontal="center" vertical="center"/>
    </xf>
    <xf numFmtId="165" fontId="21" fillId="21" borderId="4" xfId="2" applyNumberFormat="1" applyFont="1" applyFill="1" applyBorder="1" applyAlignment="1">
      <alignment horizontal="center" vertical="center"/>
    </xf>
    <xf numFmtId="0" fontId="2" fillId="26" borderId="49" xfId="2" applyFont="1" applyFill="1" applyBorder="1" applyAlignment="1">
      <alignment horizontal="center" vertical="center"/>
    </xf>
    <xf numFmtId="0" fontId="2" fillId="0" borderId="49" xfId="2" applyFont="1" applyBorder="1" applyAlignment="1">
      <alignment horizontal="center" vertical="center"/>
    </xf>
    <xf numFmtId="165" fontId="2" fillId="0" borderId="7" xfId="2" applyNumberFormat="1" applyFont="1" applyBorder="1" applyAlignment="1">
      <alignment horizontal="center" vertical="center"/>
    </xf>
    <xf numFmtId="0" fontId="40" fillId="0" borderId="44" xfId="2" applyFont="1" applyBorder="1" applyAlignment="1">
      <alignment vertical="center"/>
    </xf>
    <xf numFmtId="0" fontId="2" fillId="0" borderId="44" xfId="2" applyFont="1" applyBorder="1" applyAlignment="1">
      <alignment horizontal="left" vertical="center"/>
    </xf>
    <xf numFmtId="0" fontId="2" fillId="0" borderId="44" xfId="2" applyFont="1" applyBorder="1" applyAlignment="1">
      <alignment vertical="center"/>
    </xf>
    <xf numFmtId="0" fontId="2" fillId="0" borderId="44" xfId="2" applyFont="1" applyBorder="1" applyAlignment="1">
      <alignment horizontal="center" vertical="center"/>
    </xf>
    <xf numFmtId="10" fontId="2" fillId="0" borderId="44" xfId="2" applyNumberFormat="1" applyFont="1" applyBorder="1" applyAlignment="1">
      <alignment horizontal="center" vertical="center"/>
    </xf>
    <xf numFmtId="0" fontId="2" fillId="0" borderId="43" xfId="2" applyFont="1" applyBorder="1" applyAlignment="1">
      <alignment horizontal="center" vertical="center"/>
    </xf>
    <xf numFmtId="165" fontId="2" fillId="26" borderId="7" xfId="2" applyNumberFormat="1" applyFont="1" applyFill="1" applyBorder="1" applyAlignment="1">
      <alignment horizontal="center" vertical="center"/>
    </xf>
    <xf numFmtId="9" fontId="0" fillId="14" borderId="0" xfId="1" applyFont="1" applyFill="1" applyAlignment="1">
      <alignment vertical="center"/>
    </xf>
    <xf numFmtId="0" fontId="0" fillId="14" borderId="0" xfId="0" applyFill="1" applyAlignment="1">
      <alignment vertical="center"/>
    </xf>
    <xf numFmtId="0" fontId="0" fillId="14" borderId="0" xfId="0" applyFill="1"/>
    <xf numFmtId="0" fontId="40" fillId="26" borderId="7" xfId="2" applyFont="1" applyFill="1" applyBorder="1" applyAlignment="1">
      <alignment vertical="center"/>
    </xf>
    <xf numFmtId="0" fontId="2" fillId="26" borderId="7" xfId="2" applyFont="1" applyFill="1" applyBorder="1" applyAlignment="1">
      <alignment horizontal="left" vertical="center"/>
    </xf>
    <xf numFmtId="0" fontId="2" fillId="26" borderId="7" xfId="2" applyFont="1" applyFill="1" applyBorder="1" applyAlignment="1">
      <alignment vertical="center"/>
    </xf>
    <xf numFmtId="0" fontId="2" fillId="26" borderId="7" xfId="2" applyFont="1" applyFill="1" applyBorder="1" applyAlignment="1">
      <alignment horizontal="center" vertical="center"/>
    </xf>
    <xf numFmtId="0" fontId="2" fillId="26" borderId="8" xfId="2" applyFont="1" applyFill="1" applyBorder="1" applyAlignment="1">
      <alignment horizontal="center" vertical="center"/>
    </xf>
    <xf numFmtId="0" fontId="2" fillId="26" borderId="9" xfId="2" applyFont="1" applyFill="1" applyBorder="1" applyAlignment="1">
      <alignment vertical="center"/>
    </xf>
    <xf numFmtId="0" fontId="2" fillId="0" borderId="5" xfId="2" applyFont="1" applyBorder="1" applyAlignment="1">
      <alignment vertical="center"/>
    </xf>
    <xf numFmtId="165" fontId="2" fillId="0" borderId="48" xfId="2" applyNumberFormat="1" applyFont="1" applyBorder="1" applyAlignment="1">
      <alignment horizontal="center" vertical="center"/>
    </xf>
    <xf numFmtId="0" fontId="2" fillId="0" borderId="7" xfId="2" applyFont="1" applyBorder="1" applyAlignment="1">
      <alignment horizontal="left" vertical="center"/>
    </xf>
    <xf numFmtId="0" fontId="2" fillId="0" borderId="7" xfId="2" applyFont="1" applyBorder="1" applyAlignment="1">
      <alignment horizontal="center" vertical="center"/>
    </xf>
    <xf numFmtId="10" fontId="2" fillId="0" borderId="7" xfId="2" applyNumberFormat="1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center" vertical="center"/>
    </xf>
    <xf numFmtId="0" fontId="2" fillId="4" borderId="5" xfId="2" applyFont="1" applyFill="1" applyBorder="1" applyAlignment="1">
      <alignment vertical="center"/>
    </xf>
    <xf numFmtId="0" fontId="40" fillId="27" borderId="48" xfId="2" applyFont="1" applyFill="1" applyBorder="1" applyAlignment="1">
      <alignment vertical="center"/>
    </xf>
    <xf numFmtId="0" fontId="2" fillId="27" borderId="1" xfId="2" applyFont="1" applyFill="1" applyBorder="1" applyAlignment="1">
      <alignment vertical="center"/>
    </xf>
    <xf numFmtId="0" fontId="2" fillId="27" borderId="48" xfId="2" applyFont="1" applyFill="1" applyBorder="1" applyAlignment="1">
      <alignment horizontal="left" vertical="center"/>
    </xf>
    <xf numFmtId="0" fontId="2" fillId="27" borderId="48" xfId="2" applyFont="1" applyFill="1" applyBorder="1" applyAlignment="1">
      <alignment vertical="center"/>
    </xf>
    <xf numFmtId="0" fontId="2" fillId="27" borderId="48" xfId="2" applyFont="1" applyFill="1" applyBorder="1" applyAlignment="1">
      <alignment horizontal="center" vertical="center"/>
    </xf>
    <xf numFmtId="0" fontId="40" fillId="27" borderId="1" xfId="2" applyFont="1" applyFill="1" applyBorder="1" applyAlignment="1">
      <alignment horizontal="center" vertical="center"/>
    </xf>
    <xf numFmtId="165" fontId="2" fillId="4" borderId="7" xfId="2" applyNumberFormat="1" applyFont="1" applyFill="1" applyBorder="1" applyAlignment="1">
      <alignment horizontal="center" vertical="center"/>
    </xf>
    <xf numFmtId="10" fontId="2" fillId="27" borderId="48" xfId="2" applyNumberFormat="1" applyFont="1" applyFill="1" applyBorder="1" applyAlignment="1">
      <alignment horizontal="center" vertical="center"/>
    </xf>
    <xf numFmtId="0" fontId="2" fillId="4" borderId="44" xfId="2" applyFont="1" applyFill="1" applyBorder="1" applyAlignment="1">
      <alignment horizontal="center" vertical="center"/>
    </xf>
    <xf numFmtId="0" fontId="2" fillId="27" borderId="49" xfId="2" applyFont="1" applyFill="1" applyBorder="1" applyAlignment="1">
      <alignment horizontal="center" vertical="center"/>
    </xf>
    <xf numFmtId="0" fontId="10" fillId="4" borderId="0" xfId="2" applyFill="1"/>
    <xf numFmtId="0" fontId="2" fillId="0" borderId="9" xfId="2" applyFont="1" applyBorder="1" applyAlignment="1">
      <alignment vertical="center"/>
    </xf>
    <xf numFmtId="0" fontId="40" fillId="26" borderId="7" xfId="2" applyFont="1" applyFill="1" applyBorder="1" applyAlignment="1">
      <alignment horizontal="center" vertical="center"/>
    </xf>
    <xf numFmtId="0" fontId="2" fillId="26" borderId="43" xfId="2" applyFont="1" applyFill="1" applyBorder="1" applyAlignment="1">
      <alignment horizontal="center" vertical="center"/>
    </xf>
    <xf numFmtId="165" fontId="21" fillId="21" borderId="10" xfId="2" applyNumberFormat="1" applyFont="1" applyFill="1" applyBorder="1" applyAlignment="1">
      <alignment horizontal="center" vertical="center"/>
    </xf>
    <xf numFmtId="0" fontId="1" fillId="26" borderId="7" xfId="2" applyFont="1" applyFill="1" applyBorder="1" applyAlignment="1">
      <alignment vertical="center"/>
    </xf>
    <xf numFmtId="0" fontId="1" fillId="26" borderId="7" xfId="2" applyFont="1" applyFill="1" applyBorder="1" applyAlignment="1">
      <alignment horizontal="left" vertical="center"/>
    </xf>
    <xf numFmtId="0" fontId="1" fillId="26" borderId="7" xfId="2" applyFont="1" applyFill="1" applyBorder="1" applyAlignment="1">
      <alignment horizontal="center" vertical="center"/>
    </xf>
    <xf numFmtId="0" fontId="1" fillId="26" borderId="8" xfId="2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3" fillId="12" borderId="33" xfId="0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0" fillId="23" borderId="0" xfId="0" applyFill="1" applyAlignment="1">
      <alignment horizontal="center"/>
    </xf>
    <xf numFmtId="0" fontId="41" fillId="5" borderId="25" xfId="0" applyFont="1" applyFill="1" applyBorder="1" applyAlignment="1">
      <alignment horizontal="center" vertical="center"/>
    </xf>
    <xf numFmtId="0" fontId="41" fillId="5" borderId="26" xfId="0" applyFont="1" applyFill="1" applyBorder="1" applyAlignment="1">
      <alignment horizontal="center" vertical="center"/>
    </xf>
    <xf numFmtId="0" fontId="41" fillId="5" borderId="27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vertical="center"/>
    </xf>
    <xf numFmtId="0" fontId="42" fillId="12" borderId="6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2" fillId="12" borderId="5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2" fillId="16" borderId="6" xfId="0" applyFont="1" applyFill="1" applyBorder="1" applyAlignment="1">
      <alignment horizontal="right" vertical="center"/>
    </xf>
    <xf numFmtId="0" fontId="42" fillId="16" borderId="11" xfId="0" applyFont="1" applyFill="1" applyBorder="1" applyAlignment="1">
      <alignment horizontal="right" vertical="center"/>
    </xf>
    <xf numFmtId="0" fontId="42" fillId="16" borderId="5" xfId="0" applyFont="1" applyFill="1" applyBorder="1" applyAlignment="1">
      <alignment horizontal="right" vertical="center"/>
    </xf>
    <xf numFmtId="0" fontId="47" fillId="6" borderId="37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15" borderId="38" xfId="0" applyFont="1" applyFill="1" applyBorder="1" applyAlignment="1">
      <alignment horizontal="center" vertical="center"/>
    </xf>
    <xf numFmtId="0" fontId="8" fillId="15" borderId="38" xfId="0" applyFont="1" applyFill="1" applyBorder="1" applyAlignment="1">
      <alignment horizontal="center" vertical="center"/>
    </xf>
    <xf numFmtId="9" fontId="19" fillId="9" borderId="38" xfId="1" applyFont="1" applyFill="1" applyBorder="1" applyAlignment="1">
      <alignment horizontal="center" vertical="center"/>
    </xf>
    <xf numFmtId="9" fontId="8" fillId="9" borderId="38" xfId="1" applyFont="1" applyFill="1" applyBorder="1" applyAlignment="1">
      <alignment horizontal="center" vertical="center"/>
    </xf>
    <xf numFmtId="0" fontId="19" fillId="7" borderId="37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1" fillId="6" borderId="37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7" fillId="15" borderId="38" xfId="0" applyFont="1" applyFill="1" applyBorder="1" applyAlignment="1">
      <alignment horizontal="center" vertical="center"/>
    </xf>
    <xf numFmtId="0" fontId="6" fillId="15" borderId="38" xfId="0" applyFont="1" applyFill="1" applyBorder="1" applyAlignment="1">
      <alignment horizontal="center" vertical="center"/>
    </xf>
    <xf numFmtId="0" fontId="24" fillId="7" borderId="38" xfId="0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0" fontId="10" fillId="8" borderId="13" xfId="2" applyFill="1" applyBorder="1" applyAlignment="1">
      <alignment horizontal="center"/>
    </xf>
    <xf numFmtId="0" fontId="11" fillId="8" borderId="40" xfId="2" applyFont="1" applyFill="1" applyBorder="1" applyAlignment="1">
      <alignment horizontal="center" vertical="center"/>
    </xf>
    <xf numFmtId="0" fontId="11" fillId="8" borderId="0" xfId="2" applyFont="1" applyFill="1" applyAlignment="1">
      <alignment horizontal="center" vertical="center"/>
    </xf>
    <xf numFmtId="0" fontId="47" fillId="8" borderId="47" xfId="2" applyFont="1" applyFill="1" applyBorder="1" applyAlignment="1">
      <alignment horizontal="center" vertical="center"/>
    </xf>
    <xf numFmtId="0" fontId="11" fillId="8" borderId="10" xfId="2" applyFont="1" applyFill="1" applyBorder="1" applyAlignment="1">
      <alignment horizontal="center" vertical="center"/>
    </xf>
    <xf numFmtId="0" fontId="11" fillId="8" borderId="47" xfId="2" applyFont="1" applyFill="1" applyBorder="1" applyAlignment="1">
      <alignment horizontal="center" vertical="center"/>
    </xf>
    <xf numFmtId="0" fontId="10" fillId="8" borderId="17" xfId="2" applyFill="1" applyBorder="1" applyAlignment="1">
      <alignment horizontal="center"/>
    </xf>
    <xf numFmtId="0" fontId="10" fillId="0" borderId="0" xfId="2" applyAlignment="1">
      <alignment horizontal="center"/>
    </xf>
    <xf numFmtId="0" fontId="11" fillId="8" borderId="14" xfId="2" applyFont="1" applyFill="1" applyBorder="1" applyAlignment="1">
      <alignment horizontal="center" vertical="center"/>
    </xf>
    <xf numFmtId="0" fontId="11" fillId="8" borderId="15" xfId="2" applyFont="1" applyFill="1" applyBorder="1" applyAlignment="1">
      <alignment horizontal="center" vertical="center"/>
    </xf>
    <xf numFmtId="0" fontId="11" fillId="8" borderId="16" xfId="2" applyFont="1" applyFill="1" applyBorder="1" applyAlignment="1">
      <alignment horizontal="center" vertical="center"/>
    </xf>
    <xf numFmtId="0" fontId="22" fillId="8" borderId="14" xfId="2" applyFont="1" applyFill="1" applyBorder="1" applyAlignment="1">
      <alignment horizontal="center" vertical="center"/>
    </xf>
    <xf numFmtId="0" fontId="22" fillId="8" borderId="15" xfId="2" applyFont="1" applyFill="1" applyBorder="1" applyAlignment="1">
      <alignment horizontal="center" vertical="center"/>
    </xf>
    <xf numFmtId="0" fontId="22" fillId="8" borderId="16" xfId="2" applyFont="1" applyFill="1" applyBorder="1" applyAlignment="1">
      <alignment horizontal="center" vertical="center"/>
    </xf>
  </cellXfs>
  <cellStyles count="4">
    <cellStyle name="Comma" xfId="3" builtinId="3"/>
    <cellStyle name="Normal" xfId="0" builtinId="0"/>
    <cellStyle name="Percent" xfId="1" builtinId="5"/>
    <cellStyle name="ปกติ 2" xfId="2" xr:uid="{00000000-0005-0000-0000-000031000000}"/>
  </cellStyles>
  <dxfs count="1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65" formatCode="[$-101041E]d\ mmm\ 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65" formatCode="[$-101041E]d\ mmm\ 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01041E]d\ mmm\ yy;@"/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none"/>
      </fill>
      <alignment horizontal="center" vertical="center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65" formatCode="[$-101041E]d\ mmm\ yy;@"/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lef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left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4" formatCode="0.00%"/>
      <alignment horizont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[$-101041E]d\ mmm\ yy;@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/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$-101041E]d\ mmm\ yy;@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/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rgb="FFF5A0A0"/>
        </patternFill>
      </fill>
    </dxf>
    <dxf>
      <fill>
        <patternFill>
          <bgColor theme="9" tint="0.3999450666829432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9" tint="0.39988402966399123"/>
        </patternFill>
      </fill>
    </dxf>
    <dxf>
      <fill>
        <patternFill patternType="solid">
          <bgColor rgb="FFF5A0A0"/>
        </patternFill>
      </fill>
    </dxf>
    <dxf>
      <fill>
        <patternFill patternType="solid">
          <bgColor theme="7" tint="0.39988402966399123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Muangthaicap Modern Medium"/>
        <family val="3"/>
        <scheme val="none"/>
      </font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5" tint="0.59996337778862885"/>
        </patternFill>
      </fill>
    </dxf>
  </dxfs>
  <tableStyles count="0" defaultTableStyle="TableStyleMedium2" defaultPivotStyle="PivotStyleLight16"/>
  <colors>
    <mruColors>
      <color rgb="FFF5A0A0"/>
      <color rgb="FF33CC33"/>
      <color rgb="FF00FF00"/>
      <color rgb="FF70AD47"/>
      <color rgb="FFFF5050"/>
      <color rgb="FF78B64E"/>
      <color rgb="FFFF3F3F"/>
      <color rgb="FF1C73D2"/>
      <color rgb="FF1466CA"/>
      <color rgb="FF1445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8164286667556"/>
          <c:y val="0.16883263885799599"/>
          <c:w val="0.80887902783338494"/>
          <c:h val="0.6227664338567849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📈อัปเดตงานรายเดือน!$E$2</c:f>
              <c:numCache>
                <c:formatCode>General</c:formatCode>
                <c:ptCount val="1"/>
                <c:pt idx="0">
                  <c:v>459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📈อัปเดตงานรายเดือน!$E$1</c15:sqref>
                        </c15:formulaRef>
                      </c:ext>
                    </c:extLst>
                    <c:strCache>
                      <c:ptCount val="1"/>
                      <c:pt idx="0">
                        <c:v>งานสะสม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846-4DCA-8C90-8B29F4BDAF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57662240"/>
        <c:axId val="757662720"/>
        <c:axId val="0"/>
      </c:bar3DChart>
      <c:catAx>
        <c:axId val="757662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757662720"/>
        <c:crosses val="autoZero"/>
        <c:auto val="1"/>
        <c:lblAlgn val="ctr"/>
        <c:lblOffset val="100"/>
        <c:noMultiLvlLbl val="0"/>
      </c:catAx>
      <c:valAx>
        <c:axId val="75766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7576622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67f9691-fabc-4af5-a2b9-64da22da082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 sz="1000" b="0"/>
              <a:t>กราฟรายเดือน</a:t>
            </a:r>
          </a:p>
        </c:rich>
      </c:tx>
      <c:layout>
        <c:manualLayout>
          <c:xMode val="edge"/>
          <c:yMode val="edge"/>
          <c:x val="0.421412073490814"/>
          <c:y val="4.6511627906976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1695438268179401"/>
          <c:y val="0.13100595857380001"/>
          <c:w val="0.86882364505540699"/>
          <c:h val="0.605291821319153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📈อัปเดตงานรายเดือน!$B$2:$B$13</c:f>
              <c:numCache>
                <c:formatCode>General</c:formatCode>
                <c:ptCount val="12"/>
                <c:pt idx="0">
                  <c:v>102</c:v>
                </c:pt>
                <c:pt idx="1">
                  <c:v>105</c:v>
                </c:pt>
                <c:pt idx="2">
                  <c:v>51</c:v>
                </c:pt>
                <c:pt idx="3">
                  <c:v>81</c:v>
                </c:pt>
                <c:pt idx="4">
                  <c:v>120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📈อัปเดตงานรายเดือน!$B$1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📈อัปเดตงานรายเดือน!$A$2:$A$13</c15:sqref>
                        </c15:formulaRef>
                      </c:ext>
                    </c:extLst>
                    <c:strCache>
                      <c:ptCount val="12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713-4623-AC92-240CBF1D1FC2}"/>
            </c:ext>
          </c:extLst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📈อัปเดตงานรายเดือน!$C$2:$C$13</c:f>
              <c:numCache>
                <c:formatCode>General</c:formatCode>
                <c:ptCount val="12"/>
                <c:pt idx="0">
                  <c:v>102</c:v>
                </c:pt>
                <c:pt idx="1">
                  <c:v>105</c:v>
                </c:pt>
                <c:pt idx="2">
                  <c:v>51</c:v>
                </c:pt>
                <c:pt idx="3">
                  <c:v>50</c:v>
                </c:pt>
                <c:pt idx="4">
                  <c:v>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📈อัปเดตงานรายเดือน!$C$1</c15:sqref>
                        </c15:formulaRef>
                      </c:ext>
                    </c:extLst>
                    <c:strCache>
                      <c:ptCount val="1"/>
                      <c:pt idx="0">
                        <c:v>เสร็จ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📈อัปเดตงานรายเดือน!$A$2:$A$13</c15:sqref>
                        </c15:formulaRef>
                      </c:ext>
                    </c:extLst>
                    <c:strCache>
                      <c:ptCount val="12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713-4623-AC92-240CBF1D1F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58009584"/>
        <c:axId val="658011504"/>
      </c:barChart>
      <c:catAx>
        <c:axId val="65800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58011504"/>
        <c:crosses val="autoZero"/>
        <c:auto val="1"/>
        <c:lblAlgn val="ctr"/>
        <c:lblOffset val="100"/>
        <c:noMultiLvlLbl val="0"/>
      </c:catAx>
      <c:valAx>
        <c:axId val="6580115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80095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0336446-ec19-46e9-abff-1730efe748a3}"/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📈อัปเดตงานรายเดือน!$M$2:$M$14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23628</c:v>
                </c:pt>
                <c:pt idx="2" formatCode="General">
                  <c:v>360</c:v>
                </c:pt>
                <c:pt idx="3" formatCode="General">
                  <c:v>4127.57</c:v>
                </c:pt>
                <c:pt idx="4" formatCode="General">
                  <c:v>0</c:v>
                </c:pt>
                <c:pt idx="12" formatCode="General">
                  <c:v>28115.57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📈อัปเดตงานรายเดือน!$M$1</c15:sqref>
                        </c15:formulaRef>
                      </c:ext>
                    </c:extLst>
                    <c:strCache>
                      <c:ptCount val="1"/>
                      <c:pt idx="0">
                        <c:v>ค่าใช้จ่ายในการสั่งของ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📈อัปเดตงานรายเดือน!$L$2:$L$14</c15:sqref>
                        </c15:formulaRef>
                      </c:ext>
                    </c:extLst>
                    <c:strCache>
                      <c:ptCount val="13"/>
                      <c:pt idx="0">
                        <c:v>มกราคม</c:v>
                      </c:pt>
                      <c:pt idx="1">
                        <c:v>กุมภาพันธ์</c:v>
                      </c:pt>
                      <c:pt idx="2">
                        <c:v>มีนาคม</c:v>
                      </c:pt>
                      <c:pt idx="3">
                        <c:v>เมษายน</c:v>
                      </c:pt>
                      <c:pt idx="4">
                        <c:v>พฤษภาคม</c:v>
                      </c:pt>
                      <c:pt idx="5">
                        <c:v>มิถุนายน</c:v>
                      </c:pt>
                      <c:pt idx="6">
                        <c:v>กรกฎาคม</c:v>
                      </c:pt>
                      <c:pt idx="7">
                        <c:v>สิงหาคม</c:v>
                      </c:pt>
                      <c:pt idx="8">
                        <c:v>กันยายน</c:v>
                      </c:pt>
                      <c:pt idx="9">
                        <c:v>ตุลาคม</c:v>
                      </c:pt>
                      <c:pt idx="10">
                        <c:v>พฤศจิกายน</c:v>
                      </c:pt>
                      <c:pt idx="11">
                        <c:v>ธันวาคม</c:v>
                      </c:pt>
                      <c:pt idx="12">
                        <c:v>รวมค่าใช้จ่าย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3D-4636-8F6B-CB9AAE90BC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97710320"/>
        <c:axId val="1997708880"/>
      </c:barChart>
      <c:catAx>
        <c:axId val="199771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997708880"/>
        <c:crosses val="autoZero"/>
        <c:auto val="1"/>
        <c:lblAlgn val="ctr"/>
        <c:lblOffset val="100"/>
        <c:noMultiLvlLbl val="0"/>
      </c:catAx>
      <c:valAx>
        <c:axId val="19977088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771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41a0421-1a84-4be5-8333-c4f0f43bd2fc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กราฟงานรายวัน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📈อัปเดตงานรายเดือน!$M$34:$M$65</c:f>
              <c:numCache>
                <c:formatCode>General</c:formatCode>
                <c:ptCount val="32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📈อัปเดตงานรายเดือน!$M$33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📈อัปเดตงานรายเดือน!$L$34:$L$65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4B3-4B82-8D8C-A51A1DBABE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📈อัปเดตงานรายเดือน!$N$34:$N$65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📈อัปเดตงานรายเดือน!$N$33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📈อัปเดตงานรายเดือน!$L$34:$L$65</c15:sqref>
                        </c15:formulaRef>
                      </c:ext>
                    </c:extLst>
                    <c:strCache>
                      <c:ptCount val="3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4B3-4B82-8D8C-A51A1DBABE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62636464"/>
        <c:axId val="862637904"/>
      </c:lineChart>
      <c:catAx>
        <c:axId val="8626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7904"/>
        <c:crosses val="autoZero"/>
        <c:auto val="1"/>
        <c:lblAlgn val="ctr"/>
        <c:lblOffset val="100"/>
        <c:noMultiLvlLbl val="0"/>
      </c:catAx>
      <c:valAx>
        <c:axId val="8626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62636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35f60f4-fe5d-424b-a156-243012380e51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896-499B-9A59-BEFD821603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896-499B-9A59-BEFD821603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896-499B-9A59-BEFD821603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896-499B-9A59-BEFD821603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896-499B-9A59-BEFD821603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896-499B-9A59-BEFD821603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896-499B-9A59-BEFD8216038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96-499B-9A59-BEFD8216038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96-499B-9A59-BEFD8216038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96-499B-9A59-BEFD8216038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96-499B-9A59-BEFD82160387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96-499B-9A59-BEFD8216038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96-499B-9A59-BEFD8216038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th-TH"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5896-499B-9A59-BEFD821603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th-TH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📈อัปเดตงานรายเดือน!$B$34:$B$40</c:f>
              <c:numCache>
                <c:formatCode>General</c:formatCode>
                <c:ptCount val="7"/>
                <c:pt idx="0">
                  <c:v>26</c:v>
                </c:pt>
                <c:pt idx="1">
                  <c:v>7</c:v>
                </c:pt>
                <c:pt idx="2">
                  <c:v>7</c:v>
                </c:pt>
                <c:pt idx="3">
                  <c:v>10</c:v>
                </c:pt>
                <c:pt idx="4">
                  <c:v>50</c:v>
                </c:pt>
                <c:pt idx="5">
                  <c:v>31</c:v>
                </c:pt>
                <c:pt idx="6">
                  <c:v>81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📈อัปเดตงานรายเดือน!$B$33</c15:sqref>
                        </c15:formulaRef>
                      </c:ext>
                    </c:extLst>
                    <c:strCache>
                      <c:ptCount val="1"/>
                      <c:pt idx="0">
                        <c:v>Tasks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📈อัปเดตงานรายเดือน!$A$34:$A$40</c15:sqref>
                        </c15:formulaRef>
                      </c:ext>
                    </c:extLst>
                    <c:strCache>
                      <c:ptCount val="7"/>
                      <c:pt idx="0">
                        <c:v>1st week </c:v>
                      </c:pt>
                      <c:pt idx="1">
                        <c:v>2nd week </c:v>
                      </c:pt>
                      <c:pt idx="2">
                        <c:v>3rd week </c:v>
                      </c:pt>
                      <c:pt idx="3">
                        <c:v>4th week</c:v>
                      </c:pt>
                      <c:pt idx="4">
                        <c:v>Finished </c:v>
                      </c:pt>
                      <c:pt idx="5">
                        <c:v>Remain </c:v>
                      </c:pt>
                      <c:pt idx="6">
                        <c:v>Total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E-5896-499B-9A59-BEFD821603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f4867a6-e277-4c27-a95a-b588506f731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th-TH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h-TH"/>
              <a:t>กราฟแสดงงานซ่อม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>
        <c:manualLayout>
          <c:layoutTarget val="inner"/>
          <c:xMode val="edge"/>
          <c:yMode val="edge"/>
          <c:x val="0.146215722542266"/>
          <c:y val="0.106140152790656"/>
          <c:w val="0.74154439194761301"/>
          <c:h val="0.640761822763478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2"/>
              <c:layout>
                <c:manualLayout>
                  <c:x val="2.9223661412665199E-2"/>
                  <c:y val="-1.3914877539262901E-2"/>
                </c:manualLayout>
              </c:layout>
              <c:spPr>
                <a:solidFill>
                  <a:srgbClr val="00B0F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7751461979563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3DA-4E67-A960-060A8842B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chemeClr val="accent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📈อัปเดตงานรายเดือน!$M$34:$M$66</c:f>
              <c:numCache>
                <c:formatCode>General</c:formatCode>
                <c:ptCount val="33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94</c:v>
                </c:pt>
                <c:pt idx="4">
                  <c:v>87</c:v>
                </c:pt>
                <c:pt idx="5">
                  <c:v>83</c:v>
                </c:pt>
                <c:pt idx="6">
                  <c:v>83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71</c:v>
                </c:pt>
                <c:pt idx="16">
                  <c:v>70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53</c:v>
                </c:pt>
                <c:pt idx="25">
                  <c:v>50</c:v>
                </c:pt>
                <c:pt idx="26">
                  <c:v>43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  <c:pt idx="30">
                  <c:v>42</c:v>
                </c:pt>
                <c:pt idx="31">
                  <c:v>42</c:v>
                </c:pt>
                <c:pt idx="32">
                  <c:v>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📈อัปเดตงานรายเดือน!$M$33</c15:sqref>
                        </c15:formulaRef>
                      </c:ext>
                    </c:extLst>
                    <c:strCache>
                      <c:ptCount val="1"/>
                      <c:pt idx="0">
                        <c:v>งานทั้งหมด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📈อัปเดตงานรายเดือน!$L$34:$L$66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3DA-4E67-A960-060A8842BF5A}"/>
            </c:ext>
          </c:extLst>
        </c:ser>
        <c:ser>
          <c:idx val="1"/>
          <c:order val="1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6"/>
                </a:solidFill>
              </a:ln>
              <a:effectLst/>
            </c:spPr>
          </c:marker>
          <c:dLbls>
            <c:dLbl>
              <c:idx val="31"/>
              <c:layout>
                <c:manualLayout>
                  <c:x val="5.30885319218267E-2"/>
                  <c:y val="-2.5315427962254E-2"/>
                </c:manualLayout>
              </c:layout>
              <c:spPr>
                <a:solidFill>
                  <a:srgbClr val="92D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605612515305197E-2"/>
                      <c:h val="4.809817605556260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3DA-4E67-A960-060A8842B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0" cap="flat" cmpd="sng" algn="ctr">
                      <a:solidFill>
                        <a:srgbClr val="92D05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📈อัปเดตงานรายเดือน!$N$34:$N$66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📈อัปเดตงานรายเดือน!$N$33</c15:sqref>
                        </c15:formulaRef>
                      </c:ext>
                    </c:extLst>
                    <c:strCache>
                      <c:ptCount val="1"/>
                      <c:pt idx="0">
                        <c:v>งานสำเร็จ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📈อัปเดตงานรายเดือน!$L$34:$L$66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13DA-4E67-A960-060A8842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13968"/>
        <c:axId val="1841521168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36246715270485E-2"/>
                      <c:h val="2.529687572313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3DA-4E67-A960-060A8842BF5A}"/>
                </c:ext>
              </c:extLst>
            </c:dLbl>
            <c:dLbl>
              <c:idx val="31"/>
              <c:layout>
                <c:manualLayout>
                  <c:x val="5.3630915342489503E-2"/>
                  <c:y val="-1.8981833168690499E-2"/>
                </c:manualLayout>
              </c:layout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th-TH"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520845673979701E-2"/>
                      <c:h val="4.5564698240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3DA-4E67-A960-060A8842BF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th-TH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575" cap="flat" cmpd="sng" algn="ctr">
                      <a:solidFill>
                        <a:srgbClr val="FF000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📈อัปเดตงานรายเดือน!$O$34:$O$66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📈อัปเดตงานรายเดือน!$O$33</c15:sqref>
                        </c15:formulaRef>
                      </c:ext>
                    </c:extLst>
                    <c:strCache>
                      <c:ptCount val="1"/>
                      <c:pt idx="0">
                        <c:v>แก้ไขงานแจ้งซ่อม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📈อัปเดตงานรายเดือน!$L$34:$L$66</c15:sqref>
                        </c15:formulaRef>
                      </c:ext>
                    </c:extLst>
                    <c:strCache>
                      <c:ptCount val="3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รวม</c:v>
                      </c:pt>
                      <c:pt idx="32">
                        <c:v>งานสำเร็จทั้งหมด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13DA-4E67-A960-060A8842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449168"/>
        <c:axId val="1841454928"/>
      </c:lineChart>
      <c:catAx>
        <c:axId val="184151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21168"/>
        <c:crosses val="autoZero"/>
        <c:auto val="1"/>
        <c:lblAlgn val="ctr"/>
        <c:lblOffset val="100"/>
        <c:noMultiLvlLbl val="0"/>
      </c:catAx>
      <c:valAx>
        <c:axId val="18415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513968"/>
        <c:crosses val="autoZero"/>
        <c:crossBetween val="between"/>
      </c:valAx>
      <c:catAx>
        <c:axId val="184144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1454928"/>
        <c:crosses val="autoZero"/>
        <c:auto val="1"/>
        <c:lblAlgn val="ctr"/>
        <c:lblOffset val="100"/>
        <c:noMultiLvlLbl val="0"/>
      </c:catAx>
      <c:valAx>
        <c:axId val="184145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841449168"/>
        <c:crosses val="max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th-TH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h-TH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973eab3-e777-482c-9c2e-bd2166ae25a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th-TH"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239485</xdr:colOff>
      <xdr:row>3</xdr:row>
      <xdr:rowOff>21227</xdr:rowOff>
    </xdr:from>
    <xdr:to>
      <xdr:col>9</xdr:col>
      <xdr:colOff>201385</xdr:colOff>
      <xdr:row>10</xdr:row>
      <xdr:rowOff>70757</xdr:rowOff>
    </xdr:to>
    <xdr:graphicFrame macro="">
      <xdr:nvGraphicFramePr>
        <xdr:cNvPr id="2" name="แผนภูมิ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40341</xdr:colOff>
      <xdr:row>14</xdr:row>
      <xdr:rowOff>119904</xdr:rowOff>
    </xdr:from>
    <xdr:to>
      <xdr:col>11</xdr:col>
      <xdr:colOff>412377</xdr:colOff>
      <xdr:row>28</xdr:row>
      <xdr:rowOff>150159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94577</xdr:colOff>
      <xdr:row>1</xdr:row>
      <xdr:rowOff>5602</xdr:rowOff>
    </xdr:from>
    <xdr:to>
      <xdr:col>21</xdr:col>
      <xdr:colOff>353657</xdr:colOff>
      <xdr:row>10</xdr:row>
      <xdr:rowOff>35858</xdr:rowOff>
    </xdr:to>
    <xdr:graphicFrame macro="">
      <xdr:nvGraphicFramePr>
        <xdr:cNvPr id="4" name="แผนภูมิ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594552</xdr:colOff>
      <xdr:row>43</xdr:row>
      <xdr:rowOff>48377</xdr:rowOff>
    </xdr:from>
    <xdr:to>
      <xdr:col>28</xdr:col>
      <xdr:colOff>523797</xdr:colOff>
      <xdr:row>57</xdr:row>
      <xdr:rowOff>46744</xdr:rowOff>
    </xdr:to>
    <xdr:graphicFrame macro="">
      <xdr:nvGraphicFramePr>
        <xdr:cNvPr id="5" name="แผนภูมิ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484414</xdr:colOff>
      <xdr:row>31</xdr:row>
      <xdr:rowOff>157842</xdr:rowOff>
    </xdr:from>
    <xdr:to>
      <xdr:col>9</xdr:col>
      <xdr:colOff>468085</xdr:colOff>
      <xdr:row>41</xdr:row>
      <xdr:rowOff>10885</xdr:rowOff>
    </xdr:to>
    <xdr:graphicFrame macro="">
      <xdr:nvGraphicFramePr>
        <xdr:cNvPr id="6" name="แผนภูมิ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419100</xdr:colOff>
      <xdr:row>57</xdr:row>
      <xdr:rowOff>103412</xdr:rowOff>
    </xdr:from>
    <xdr:to>
      <xdr:col>30</xdr:col>
      <xdr:colOff>555170</xdr:colOff>
      <xdr:row>83</xdr:row>
      <xdr:rowOff>65314</xdr:rowOff>
    </xdr:to>
    <xdr:graphicFrame macro="">
      <xdr:nvGraphicFramePr>
        <xdr:cNvPr id="7" name="แผนภูมิ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903515</xdr:colOff>
      <xdr:row>0</xdr:row>
      <xdr:rowOff>87087</xdr:rowOff>
    </xdr:from>
    <xdr:ext cx="391886" cy="391886"/>
    <xdr:pic>
      <xdr:nvPicPr>
        <xdr:cNvPr id="2" name="กราฟิก 1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0310" y="86995"/>
          <a:ext cx="392430" cy="391795"/>
        </a:xfrm>
        <a:prstGeom prst="rect">
          <a:avLst/>
        </a:prstGeom>
      </xdr:spPr>
    </xdr:pic>
    <xdr:clientData/>
  </xdr:oneCellAnchor>
  <xdr:oneCellAnchor>
    <xdr:from>
      <xdr:col>2</xdr:col>
      <xdr:colOff>195942</xdr:colOff>
      <xdr:row>22</xdr:row>
      <xdr:rowOff>87085</xdr:rowOff>
    </xdr:from>
    <xdr:ext cx="391886" cy="391886"/>
    <xdr:pic>
      <xdr:nvPicPr>
        <xdr:cNvPr id="3" name="กราฟิก 2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5920" y="737362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195942</xdr:colOff>
      <xdr:row>44</xdr:row>
      <xdr:rowOff>87085</xdr:rowOff>
    </xdr:from>
    <xdr:ext cx="391886" cy="391886"/>
    <xdr:pic>
      <xdr:nvPicPr>
        <xdr:cNvPr id="4" name="กราฟิก 3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5920" y="14860270"/>
          <a:ext cx="391795" cy="391795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66</xdr:row>
      <xdr:rowOff>0</xdr:rowOff>
    </xdr:from>
    <xdr:ext cx="391886" cy="391886"/>
    <xdr:pic>
      <xdr:nvPicPr>
        <xdr:cNvPr id="5" name="กราฟิก 4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7200CAF7-9BAF-4210-9E87-368519EEC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0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370971</xdr:colOff>
      <xdr:row>87</xdr:row>
      <xdr:rowOff>184727</xdr:rowOff>
    </xdr:from>
    <xdr:ext cx="391886" cy="391886"/>
    <xdr:pic>
      <xdr:nvPicPr>
        <xdr:cNvPr id="6" name="กราฟิก 5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B751D0BC-8F1C-479A-9678-19F4A236D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95698" y="25746363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110</xdr:row>
      <xdr:rowOff>0</xdr:rowOff>
    </xdr:from>
    <xdr:ext cx="391886" cy="391886"/>
    <xdr:pic>
      <xdr:nvPicPr>
        <xdr:cNvPr id="7" name="กราฟิก 6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6A40446B-B30F-4D4B-808F-B7B785D9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8374380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132</xdr:row>
      <xdr:rowOff>0</xdr:rowOff>
    </xdr:from>
    <xdr:ext cx="391886" cy="391886"/>
    <xdr:pic>
      <xdr:nvPicPr>
        <xdr:cNvPr id="8" name="กราฟิก 7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F47A9875-A3FC-4831-997E-6B24844A9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76202" y="12496800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195942</xdr:colOff>
      <xdr:row>155</xdr:row>
      <xdr:rowOff>87085</xdr:rowOff>
    </xdr:from>
    <xdr:ext cx="391886" cy="391886"/>
    <xdr:pic>
      <xdr:nvPicPr>
        <xdr:cNvPr id="9" name="กราฟิก 8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F1DF7A95-3138-45F9-8410-5021B2B9B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7371" y="15000514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177</xdr:row>
      <xdr:rowOff>0</xdr:rowOff>
    </xdr:from>
    <xdr:ext cx="391886" cy="391886"/>
    <xdr:pic>
      <xdr:nvPicPr>
        <xdr:cNvPr id="10" name="กราฟิก 9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81CE5098-0175-49E7-AD95-30BAC8EC4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4491" y="22179643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370971</xdr:colOff>
      <xdr:row>198</xdr:row>
      <xdr:rowOff>184727</xdr:rowOff>
    </xdr:from>
    <xdr:ext cx="391886" cy="391886"/>
    <xdr:pic>
      <xdr:nvPicPr>
        <xdr:cNvPr id="11" name="กราฟิก 10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D2D861CE-0678-4F27-B9D7-D3ADABB8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92400" y="26337656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221</xdr:row>
      <xdr:rowOff>0</xdr:rowOff>
    </xdr:from>
    <xdr:ext cx="391886" cy="391886"/>
    <xdr:pic>
      <xdr:nvPicPr>
        <xdr:cNvPr id="12" name="กราฟิก 11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40766289-98A5-4657-94D4-4FA8623B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4491" y="30534429"/>
          <a:ext cx="391886" cy="391886"/>
        </a:xfrm>
        <a:prstGeom prst="rect">
          <a:avLst/>
        </a:prstGeom>
      </xdr:spPr>
    </xdr:pic>
    <xdr:clientData/>
  </xdr:oneCellAnchor>
  <xdr:oneCellAnchor>
    <xdr:from>
      <xdr:col>2</xdr:col>
      <xdr:colOff>13062</xdr:colOff>
      <xdr:row>243</xdr:row>
      <xdr:rowOff>0</xdr:rowOff>
    </xdr:from>
    <xdr:ext cx="391886" cy="391886"/>
    <xdr:pic>
      <xdr:nvPicPr>
        <xdr:cNvPr id="13" name="กราฟิก 12" descr="แผนภูมิแท่ง ด้วยสีเติมแบบทึบ">
          <a:extLst>
            <a:ext uri="{FF2B5EF4-FFF2-40B4-BE49-F238E27FC236}">
              <a16:creationId xmlns:a16="http://schemas.microsoft.com/office/drawing/2014/main" id="{CC3E556D-525B-4E78-94FC-971A107B4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4491" y="34711821"/>
          <a:ext cx="391886" cy="39188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165595</xdr:rowOff>
    </xdr:from>
    <xdr:ext cx="443345" cy="4273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5100"/>
          <a:ext cx="443230" cy="427355"/>
        </a:xfrm>
        <a:prstGeom prst="rect">
          <a:avLst/>
        </a:prstGeom>
      </xdr:spPr>
    </xdr:pic>
    <xdr:clientData/>
  </xdr:oneCellAnchor>
  <xdr:oneCellAnchor>
    <xdr:from>
      <xdr:col>0</xdr:col>
      <xdr:colOff>8965</xdr:colOff>
      <xdr:row>25</xdr:row>
      <xdr:rowOff>174560</xdr:rowOff>
    </xdr:from>
    <xdr:ext cx="443948" cy="426708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4966970"/>
          <a:ext cx="443865" cy="426720"/>
        </a:xfrm>
        <a:prstGeom prst="rect">
          <a:avLst/>
        </a:prstGeom>
      </xdr:spPr>
    </xdr:pic>
    <xdr:clientData/>
  </xdr:oneCellAnchor>
  <xdr:oneCellAnchor>
    <xdr:from>
      <xdr:col>0</xdr:col>
      <xdr:colOff>35858</xdr:colOff>
      <xdr:row>78</xdr:row>
      <xdr:rowOff>174561</xdr:rowOff>
    </xdr:from>
    <xdr:ext cx="443948" cy="426708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60" y="14810105"/>
          <a:ext cx="443865" cy="426720"/>
        </a:xfrm>
        <a:prstGeom prst="rect">
          <a:avLst/>
        </a:prstGeom>
      </xdr:spPr>
    </xdr:pic>
    <xdr:clientData/>
  </xdr:oneCellAnchor>
  <xdr:oneCellAnchor>
    <xdr:from>
      <xdr:col>0</xdr:col>
      <xdr:colOff>35858</xdr:colOff>
      <xdr:row>129</xdr:row>
      <xdr:rowOff>174561</xdr:rowOff>
    </xdr:from>
    <xdr:ext cx="443948" cy="426708"/>
    <xdr:pic>
      <xdr:nvPicPr>
        <xdr:cNvPr id="8" name="Picture 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60" y="24302720"/>
          <a:ext cx="443865" cy="426720"/>
        </a:xfrm>
        <a:prstGeom prst="rect">
          <a:avLst/>
        </a:prstGeom>
      </xdr:spPr>
    </xdr:pic>
    <xdr:clientData/>
  </xdr:oneCellAnchor>
  <xdr:oneCellAnchor>
    <xdr:from>
      <xdr:col>0</xdr:col>
      <xdr:colOff>35858</xdr:colOff>
      <xdr:row>229</xdr:row>
      <xdr:rowOff>174561</xdr:rowOff>
    </xdr:from>
    <xdr:ext cx="443948" cy="426708"/>
    <xdr:pic>
      <xdr:nvPicPr>
        <xdr:cNvPr id="5" name="Picture 1">
          <a:extLst>
            <a:ext uri="{FF2B5EF4-FFF2-40B4-BE49-F238E27FC236}">
              <a16:creationId xmlns:a16="http://schemas.microsoft.com/office/drawing/2014/main" id="{405D750F-C9D2-414A-A6E4-295DF263F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58" y="24609361"/>
          <a:ext cx="443948" cy="426708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le814" displayName="Table814" ref="L33:O66" totalsRowShown="0">
  <autoFilter ref="L33:O66" xr:uid="{00000000-0009-0000-0100-00000D000000}"/>
  <tableColumns count="4">
    <tableColumn id="1" xr3:uid="{00000000-0010-0000-0000-000001000000}" name="วันที่" dataDxfId="133"/>
    <tableColumn id="2" xr3:uid="{00000000-0010-0000-0000-000002000000}" name="งานทั้งหมด" dataDxfId="132">
      <calculatedColumnFormula>SUM(N33+O33)</calculatedColumnFormula>
    </tableColumn>
    <tableColumn id="3" xr3:uid="{00000000-0010-0000-0000-000003000000}" name="งานสำเร็จ" dataDxfId="131"/>
    <tableColumn id="4" xr3:uid="{00000000-0010-0000-0000-000004000000}" name="แก้ไขงานแจ้งซ่อม" dataDxfId="1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13" displayName="Table13" ref="A3:K25" totalsRowShown="0">
  <autoFilter ref="A3:K25" xr:uid="{00000000-0009-0000-0100-000002000000}"/>
  <tableColumns count="11">
    <tableColumn id="1" xr3:uid="{00000000-0010-0000-0400-000001000000}" name="ลำดับ" dataDxfId="67"/>
    <tableColumn id="2" xr3:uid="{00000000-0010-0000-0400-000002000000}" name="ชื่อผู้แจ้งซ่อม/ฝ่าย" dataDxfId="66"/>
    <tableColumn id="3" xr3:uid="{00000000-0010-0000-0400-000003000000}" name="คอลัมน์1" dataDxfId="65"/>
    <tableColumn id="4" xr3:uid="{00000000-0010-0000-0400-000004000000}" name="แจ้งผ่าน" dataDxfId="64"/>
    <tableColumn id="5" xr3:uid="{00000000-0010-0000-0400-000005000000}" name="เรื่อง" dataDxfId="63"/>
    <tableColumn id="6" xr3:uid="{00000000-0010-0000-0400-000006000000}" name="ชั้น" dataDxfId="62"/>
    <tableColumn id="7" xr3:uid="{00000000-0010-0000-0400-000007000000}" name="ประเภท" dataDxfId="61"/>
    <tableColumn id="8" xr3:uid="{00000000-0010-0000-0400-000008000000}" name="วันที่แจ้งซ่อม" dataDxfId="60"/>
    <tableColumn id="9" xr3:uid="{00000000-0010-0000-0400-000009000000}" name="ตำแหน่ง" dataDxfId="59"/>
    <tableColumn id="10" xr3:uid="{00000000-0010-0000-0400-00000A000000}" name="สถานะ" dataDxfId="58"/>
    <tableColumn id="11" xr3:uid="{00000000-0010-0000-0400-00000B000000}" name="วันที่เข้าแก้ไข" dataDxfId="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e4" displayName="Table4" ref="A28:L78" totalsRowShown="0">
  <autoFilter ref="A28:L78" xr:uid="{00000000-0009-0000-0100-000009000000}"/>
  <tableColumns count="12">
    <tableColumn id="1" xr3:uid="{00000000-0010-0000-0500-000001000000}" name="ลำดับ" dataDxfId="56"/>
    <tableColumn id="2" xr3:uid="{00000000-0010-0000-0500-000002000000}" name="ชื่อผู้แจ้งซ่อม" dataDxfId="55"/>
    <tableColumn id="3" xr3:uid="{00000000-0010-0000-0500-000003000000}" name="ฝ่าย" dataDxfId="54"/>
    <tableColumn id="4" xr3:uid="{00000000-0010-0000-0500-000004000000}" name="แจ้งผ่าน" dataDxfId="53"/>
    <tableColumn id="5" xr3:uid="{00000000-0010-0000-0500-000005000000}" name="เรื่อง" dataDxfId="52"/>
    <tableColumn id="6" xr3:uid="{00000000-0010-0000-0500-000006000000}" name="ชั้น" dataDxfId="51"/>
    <tableColumn id="7" xr3:uid="{00000000-0010-0000-0500-000007000000}" name="ประเภท" dataDxfId="50"/>
    <tableColumn id="8" xr3:uid="{00000000-0010-0000-0500-000008000000}" name="วันที่แจ้งซ่อม" dataDxfId="49"/>
    <tableColumn id="9" xr3:uid="{00000000-0010-0000-0500-000009000000}" name="ตำแหน่ง" dataDxfId="48"/>
    <tableColumn id="10" xr3:uid="{00000000-0010-0000-0500-00000A000000}" name="สถานะ" dataDxfId="47"/>
    <tableColumn id="11" xr3:uid="{00000000-0010-0000-0500-00000B000000}" name="วันที่เข้าแก้ไข" dataDxfId="46"/>
    <tableColumn id="12" xr3:uid="{00000000-0010-0000-0500-00000C000000}" name="สัปดาห์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2" displayName="Table2" ref="A81:L129" totalsRowShown="0">
  <autoFilter ref="A81:L129" xr:uid="{00000000-0009-0000-0100-00000B000000}"/>
  <tableColumns count="12">
    <tableColumn id="1" xr3:uid="{00000000-0010-0000-0600-000001000000}" name="ลำดับ" dataDxfId="44"/>
    <tableColumn id="2" xr3:uid="{00000000-0010-0000-0600-000002000000}" name="ชื่อผู้แจ้งซ่อม" dataDxfId="43"/>
    <tableColumn id="3" xr3:uid="{00000000-0010-0000-0600-000003000000}" name="ฝ่าย" dataDxfId="42"/>
    <tableColumn id="4" xr3:uid="{00000000-0010-0000-0600-000004000000}" name="แจ้งผ่าน" dataDxfId="41"/>
    <tableColumn id="5" xr3:uid="{00000000-0010-0000-0600-000005000000}" name="เรื่อง" dataDxfId="40"/>
    <tableColumn id="6" xr3:uid="{00000000-0010-0000-0600-000006000000}" name="ชั้น" dataDxfId="39"/>
    <tableColumn id="7" xr3:uid="{00000000-0010-0000-0600-000007000000}" name="ประเภท" dataDxfId="38"/>
    <tableColumn id="8" xr3:uid="{00000000-0010-0000-0600-000008000000}" name="วันที่แจ้งซ่อม" dataDxfId="37"/>
    <tableColumn id="9" xr3:uid="{00000000-0010-0000-0600-000009000000}" name="ตำแหน่ง" dataDxfId="36"/>
    <tableColumn id="10" xr3:uid="{00000000-0010-0000-0600-00000A000000}" name="สถานะ" dataDxfId="35"/>
    <tableColumn id="11" xr3:uid="{00000000-0010-0000-0600-00000B000000}" name="วันที่เข้าแก้ไข" dataDxfId="34"/>
    <tableColumn id="12" xr3:uid="{00000000-0010-0000-0600-00000C000000}" name="สัปดาห์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Table16" displayName="Table16" ref="A132:N229" totalsRowShown="0">
  <autoFilter ref="A132:N229" xr:uid="{00000000-0009-0000-0100-000010000000}"/>
  <tableColumns count="14">
    <tableColumn id="1" xr3:uid="{00000000-0010-0000-0700-000001000000}" name="ลำดับ" dataDxfId="32"/>
    <tableColumn id="2" xr3:uid="{00000000-0010-0000-0700-000002000000}" name="ชื่อผู้แจ้งซ่อม" dataDxfId="31"/>
    <tableColumn id="3" xr3:uid="{00000000-0010-0000-0700-000003000000}" name="ฝ่าย" dataDxfId="30"/>
    <tableColumn id="4" xr3:uid="{00000000-0010-0000-0700-000004000000}" name="แจ้งผ่าน" dataDxfId="29"/>
    <tableColumn id="5" xr3:uid="{00000000-0010-0000-0700-000005000000}" name="เรื่อง" dataDxfId="28"/>
    <tableColumn id="6" xr3:uid="{00000000-0010-0000-0700-000006000000}" name="ชั้น" dataDxfId="27"/>
    <tableColumn id="7" xr3:uid="{00000000-0010-0000-0700-000007000000}" name="ประเภท" dataDxfId="26"/>
    <tableColumn id="8" xr3:uid="{00000000-0010-0000-0700-000008000000}" name="วันที่แจ้งซ่อม" dataDxfId="25"/>
    <tableColumn id="9" xr3:uid="{00000000-0010-0000-0700-000009000000}" name="ตำแหน่ง" dataDxfId="24"/>
    <tableColumn id="13" xr3:uid="{5F88B852-D7ED-4069-AACE-17E8CCDF5323}" name="ความเร่งด่วน" dataDxfId="23" dataCellStyle="ปกติ 2"/>
    <tableColumn id="10" xr3:uid="{00000000-0010-0000-0700-00000A000000}" name="สถานะ" dataDxfId="22"/>
    <tableColumn id="11" xr3:uid="{00000000-0010-0000-0700-00000B000000}" name="วันที่เข้าแก้ไข" dataDxfId="21"/>
    <tableColumn id="12" xr3:uid="{00000000-0010-0000-0700-00000C000000}" name="สัปดาห์ที่แก้ไข" dataDxfId="20"/>
    <tableColumn id="14" xr3:uid="{00000000-0010-0000-0700-00000E000000}" name="สัปดาห์แจ้งซ่อม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3ED789-16F2-4E45-8C99-1833B62F2CF7}" name="Table18" displayName="Table18" ref="A232:O317" totalsRowShown="0" dataDxfId="17" headerRowBorderDxfId="18" tableBorderDxfId="16" totalsRowBorderDxfId="15" dataCellStyle="ปกติ 2">
  <autoFilter ref="A232:O317" xr:uid="{BE3ED789-16F2-4E45-8C99-1833B62F2CF7}"/>
  <tableColumns count="15">
    <tableColumn id="1" xr3:uid="{73FC9999-D660-4677-967A-AAE3646C142E}" name="ลำดับ" dataDxfId="14" dataCellStyle="ปกติ 2"/>
    <tableColumn id="2" xr3:uid="{D0C75E66-4FAE-49AA-8375-D2680321A1D4}" name="ชื่อผู้แจ้งซ่อม" dataDxfId="13" dataCellStyle="ปกติ 2"/>
    <tableColumn id="3" xr3:uid="{B45B6024-21B8-421E-95DA-27BADC8DD26A}" name="ฝ่าย" dataDxfId="12" dataCellStyle="ปกติ 2"/>
    <tableColumn id="4" xr3:uid="{2E91B980-C462-4463-996F-40B9B73009D8}" name="แจ้งผ่าน" dataDxfId="11" dataCellStyle="ปกติ 2"/>
    <tableColumn id="5" xr3:uid="{778C5ECB-179C-493D-BECA-5AAD22578622}" name="เรื่อง" dataDxfId="10" dataCellStyle="ปกติ 2"/>
    <tableColumn id="6" xr3:uid="{7BD28934-13E3-4241-B49F-53C63D07BC7F}" name="ชั้น" dataDxfId="9" dataCellStyle="ปกติ 2"/>
    <tableColumn id="7" xr3:uid="{D8DBDB50-0E92-4DB5-9AFB-DA838A0FF275}" name="ประเภท" dataDxfId="8" dataCellStyle="ปกติ 2"/>
    <tableColumn id="8" xr3:uid="{BBCC68B9-C889-4338-A042-24CDA65DAADD}" name="วันที่แจ้งซ่อม" dataDxfId="7" dataCellStyle="ปกติ 2"/>
    <tableColumn id="9" xr3:uid="{A007CF62-C59C-4E36-968A-5ED8A07992ED}" name="ตำแหน่ง" dataDxfId="6" dataCellStyle="ปกติ 2"/>
    <tableColumn id="10" xr3:uid="{115A876A-9A04-4317-B026-6C7FCBEEDEEF}" name="ความเร่งด่วน" dataDxfId="5" dataCellStyle="ปกติ 2"/>
    <tableColumn id="11" xr3:uid="{05C1358D-00CE-4FA6-8509-E3DF77D915DF}" name="สถานะ" dataDxfId="4" dataCellStyle="ปกติ 2"/>
    <tableColumn id="12" xr3:uid="{20229F91-DAEC-4A5D-A5B5-A96C254CDDB8}" name="วันที่เข้าแก้ไข" dataDxfId="3" dataCellStyle="ปกติ 2"/>
    <tableColumn id="13" xr3:uid="{6AC6BA92-4AF1-46A4-BFC4-74E7B75230B8}" name="สัปดาห์ที่แก้ไข" dataDxfId="2" dataCellStyle="ปกติ 2"/>
    <tableColumn id="14" xr3:uid="{848FB90D-2FD3-4CC6-9125-B10B9E34E06A}" name="สัปดาห์แจ้งซ่อม" dataDxfId="1" dataCellStyle="ปกติ 2"/>
    <tableColumn id="15" xr3:uid="{44D26A88-1B0C-48DB-BAFD-4A24A39575D2}" name="จำนวนครั้งที่แก้ไข" dataDxfId="0" dataCellStyle="ปกติ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57D3FF"/>
  </sheetPr>
  <dimension ref="A1:U166"/>
  <sheetViews>
    <sheetView topLeftCell="A89" zoomScale="130" zoomScaleNormal="130" workbookViewId="0">
      <selection activeCell="I318" sqref="I318"/>
    </sheetView>
  </sheetViews>
  <sheetFormatPr defaultColWidth="9" defaultRowHeight="14.4"/>
  <cols>
    <col min="1" max="1" width="16.44140625" customWidth="1"/>
    <col min="2" max="2" width="12.109375" customWidth="1"/>
    <col min="4" max="4" width="15.33203125" customWidth="1"/>
    <col min="5" max="5" width="17.6640625" customWidth="1"/>
    <col min="6" max="7" width="15.6640625" customWidth="1"/>
    <col min="8" max="8" width="17.6640625" customWidth="1"/>
    <col min="9" max="10" width="15.6640625" customWidth="1"/>
    <col min="11" max="11" width="12.6640625" style="1" customWidth="1"/>
    <col min="12" max="12" width="13" customWidth="1"/>
    <col min="13" max="13" width="15.33203125" customWidth="1"/>
    <col min="14" max="14" width="26" customWidth="1"/>
    <col min="15" max="15" width="16.109375" customWidth="1"/>
    <col min="16" max="16" width="15.44140625" customWidth="1"/>
    <col min="17" max="17" width="16.5546875" customWidth="1"/>
    <col min="18" max="18" width="16.88671875" customWidth="1"/>
    <col min="21" max="21" width="12.44140625" customWidth="1"/>
  </cols>
  <sheetData>
    <row r="1" spans="1:21" ht="15">
      <c r="A1" s="16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K1" s="158"/>
      <c r="L1" s="20" t="s">
        <v>0</v>
      </c>
      <c r="M1" s="21" t="s">
        <v>5</v>
      </c>
      <c r="N1" s="285" t="s">
        <v>6</v>
      </c>
      <c r="O1" s="286"/>
      <c r="P1" s="22"/>
      <c r="Q1" s="22"/>
    </row>
    <row r="2" spans="1:21" ht="15">
      <c r="A2" s="14" t="s">
        <v>7</v>
      </c>
      <c r="B2" s="15">
        <v>102</v>
      </c>
      <c r="C2" s="23">
        <v>102</v>
      </c>
      <c r="D2" s="24" cm="1">
        <f t="array" ref="D2">SUM(B2:B13-C2:C13)</f>
        <v>69</v>
      </c>
      <c r="E2" s="25">
        <f>SUM(B2:B13)</f>
        <v>459</v>
      </c>
      <c r="K2" s="158"/>
      <c r="L2" s="26" t="s">
        <v>7</v>
      </c>
      <c r="M2" s="27">
        <v>0</v>
      </c>
      <c r="N2" s="19"/>
      <c r="O2" s="19"/>
      <c r="P2" s="22"/>
      <c r="Q2" s="22"/>
    </row>
    <row r="3" spans="1:21" ht="15">
      <c r="A3" s="14" t="s">
        <v>8</v>
      </c>
      <c r="B3" s="15">
        <v>105</v>
      </c>
      <c r="C3" s="23">
        <v>105</v>
      </c>
      <c r="D3" s="3"/>
      <c r="E3" s="3"/>
      <c r="K3" s="158"/>
      <c r="L3" s="26" t="s">
        <v>8</v>
      </c>
      <c r="M3" s="28">
        <v>23628</v>
      </c>
      <c r="N3" s="29" t="s">
        <v>9</v>
      </c>
      <c r="O3" s="19"/>
      <c r="P3" s="22"/>
      <c r="Q3" s="22"/>
    </row>
    <row r="4" spans="1:21" ht="15">
      <c r="A4" s="14" t="s">
        <v>10</v>
      </c>
      <c r="B4" s="15">
        <v>51</v>
      </c>
      <c r="C4" s="23">
        <v>51</v>
      </c>
      <c r="D4" s="3"/>
      <c r="E4" s="3"/>
      <c r="K4" s="158"/>
      <c r="L4" s="26" t="s">
        <v>10</v>
      </c>
      <c r="M4" s="27">
        <v>360</v>
      </c>
      <c r="N4" s="19" t="s">
        <v>11</v>
      </c>
      <c r="O4" s="19"/>
      <c r="P4" s="22"/>
      <c r="Q4" s="22"/>
    </row>
    <row r="5" spans="1:21" ht="15">
      <c r="A5" s="14" t="s">
        <v>12</v>
      </c>
      <c r="B5" s="15">
        <v>81</v>
      </c>
      <c r="C5" s="23">
        <v>50</v>
      </c>
      <c r="D5" s="3"/>
      <c r="E5" s="3"/>
      <c r="K5" s="158"/>
      <c r="L5" s="26" t="s">
        <v>12</v>
      </c>
      <c r="M5" s="27">
        <v>4127.57</v>
      </c>
      <c r="N5" s="19"/>
      <c r="O5" s="19"/>
      <c r="P5" s="22"/>
      <c r="Q5" s="22"/>
    </row>
    <row r="6" spans="1:21" ht="15">
      <c r="A6" s="14" t="s">
        <v>13</v>
      </c>
      <c r="B6" s="15">
        <f>70+50</f>
        <v>120</v>
      </c>
      <c r="C6" s="23">
        <v>82</v>
      </c>
      <c r="D6" s="3"/>
      <c r="E6" s="3"/>
      <c r="K6" s="158"/>
      <c r="L6" s="26" t="s">
        <v>13</v>
      </c>
      <c r="M6" s="27">
        <v>0</v>
      </c>
      <c r="N6" s="19"/>
      <c r="O6" s="19"/>
      <c r="P6" s="22"/>
      <c r="Q6" s="22"/>
    </row>
    <row r="7" spans="1:21" ht="15">
      <c r="A7" s="14" t="s">
        <v>14</v>
      </c>
      <c r="B7" s="15"/>
      <c r="C7" s="23"/>
      <c r="D7" s="3"/>
      <c r="E7" s="3"/>
      <c r="K7" s="158"/>
      <c r="L7" s="26" t="s">
        <v>14</v>
      </c>
      <c r="M7" s="27"/>
      <c r="N7" s="19"/>
      <c r="O7" s="19"/>
      <c r="P7" s="22"/>
      <c r="Q7" s="22"/>
    </row>
    <row r="8" spans="1:21" ht="15">
      <c r="A8" s="14" t="s">
        <v>15</v>
      </c>
      <c r="B8" s="15"/>
      <c r="C8" s="23"/>
      <c r="D8" s="3"/>
      <c r="E8" s="3"/>
      <c r="K8" s="158"/>
      <c r="L8" s="26" t="s">
        <v>15</v>
      </c>
      <c r="M8" s="27"/>
      <c r="N8" s="19"/>
      <c r="O8" s="19"/>
      <c r="P8" s="22"/>
      <c r="Q8" s="22"/>
    </row>
    <row r="9" spans="1:21" ht="15">
      <c r="A9" s="14" t="s">
        <v>16</v>
      </c>
      <c r="B9" s="15"/>
      <c r="C9" s="23"/>
      <c r="D9" s="30"/>
      <c r="E9" s="3"/>
      <c r="K9" s="158"/>
      <c r="L9" s="26" t="s">
        <v>16</v>
      </c>
      <c r="M9" s="27"/>
      <c r="N9" s="19"/>
      <c r="O9" s="19"/>
      <c r="P9" s="22"/>
      <c r="Q9" s="22"/>
    </row>
    <row r="10" spans="1:21" ht="15">
      <c r="A10" s="14" t="s">
        <v>17</v>
      </c>
      <c r="B10" s="15"/>
      <c r="C10" s="23"/>
      <c r="D10" s="3"/>
      <c r="E10" s="3"/>
      <c r="K10" s="158"/>
      <c r="L10" s="26" t="s">
        <v>17</v>
      </c>
      <c r="M10" s="27"/>
      <c r="N10" s="19"/>
      <c r="O10" s="19"/>
      <c r="P10" s="22"/>
      <c r="Q10" s="22"/>
    </row>
    <row r="11" spans="1:21" ht="15">
      <c r="A11" s="14" t="s">
        <v>18</v>
      </c>
      <c r="B11" s="15"/>
      <c r="C11" s="23"/>
      <c r="D11" s="3"/>
      <c r="E11" s="3"/>
      <c r="K11" s="158"/>
      <c r="L11" s="26" t="s">
        <v>18</v>
      </c>
      <c r="M11" s="27"/>
      <c r="N11" s="19"/>
      <c r="O11" s="19"/>
      <c r="P11" s="22"/>
      <c r="Q11" s="22"/>
    </row>
    <row r="12" spans="1:21" ht="15">
      <c r="A12" s="14" t="s">
        <v>19</v>
      </c>
      <c r="B12" s="15"/>
      <c r="C12" s="23"/>
      <c r="D12" s="3"/>
      <c r="E12" s="3"/>
      <c r="K12" s="158"/>
      <c r="L12" s="26" t="s">
        <v>19</v>
      </c>
      <c r="M12" s="27"/>
      <c r="N12" s="19"/>
      <c r="O12" s="19"/>
      <c r="P12" s="22"/>
      <c r="Q12" s="22"/>
    </row>
    <row r="13" spans="1:21" ht="15">
      <c r="A13" s="14" t="s">
        <v>20</v>
      </c>
      <c r="B13" s="15"/>
      <c r="C13" s="23"/>
      <c r="D13" s="3"/>
      <c r="E13" s="3"/>
      <c r="K13" s="158"/>
      <c r="L13" s="26" t="s">
        <v>20</v>
      </c>
      <c r="M13" s="27"/>
      <c r="N13" s="19"/>
      <c r="O13" s="19"/>
      <c r="P13" s="22"/>
      <c r="Q13" s="22"/>
    </row>
    <row r="14" spans="1:21">
      <c r="K14" s="158"/>
      <c r="L14" s="31" t="s">
        <v>21</v>
      </c>
      <c r="M14" s="27">
        <f>SUM(M2:M13)</f>
        <v>28115.57</v>
      </c>
      <c r="N14" s="19"/>
      <c r="O14" s="19"/>
      <c r="P14" s="22"/>
      <c r="Q14" s="22"/>
    </row>
    <row r="15" spans="1:21">
      <c r="K15" s="159"/>
      <c r="L15" s="22"/>
      <c r="M15" s="22"/>
      <c r="N15" s="22"/>
      <c r="O15" s="22"/>
      <c r="P15" s="32"/>
      <c r="Q15" s="33"/>
      <c r="R15" s="33"/>
      <c r="S15" s="33"/>
      <c r="T15" s="33"/>
      <c r="U15" s="33"/>
    </row>
    <row r="16" spans="1:21">
      <c r="K16" s="159"/>
      <c r="L16" s="22"/>
      <c r="M16" s="22"/>
      <c r="N16" s="22"/>
      <c r="O16" s="22"/>
      <c r="P16" s="33"/>
      <c r="Q16" s="33"/>
      <c r="R16" s="33"/>
      <c r="S16" s="33"/>
    </row>
    <row r="17" spans="11:17">
      <c r="K17" s="159"/>
      <c r="L17" s="22"/>
      <c r="M17" s="22"/>
      <c r="N17" s="22"/>
      <c r="O17" s="22"/>
      <c r="P17" s="22"/>
      <c r="Q17" s="22"/>
    </row>
    <row r="33" spans="1:15" ht="15">
      <c r="A33" s="5" t="s">
        <v>22</v>
      </c>
      <c r="B33" s="5" t="s">
        <v>23</v>
      </c>
      <c r="L33" s="34" t="s">
        <v>24</v>
      </c>
      <c r="M33" s="35" t="s">
        <v>1</v>
      </c>
      <c r="N33" s="35" t="s">
        <v>25</v>
      </c>
      <c r="O33" s="36" t="s">
        <v>26</v>
      </c>
    </row>
    <row r="34" spans="1:15" ht="15">
      <c r="A34" s="6" t="s">
        <v>27</v>
      </c>
      <c r="B34" s="7">
        <v>26</v>
      </c>
      <c r="L34" s="37">
        <v>1</v>
      </c>
      <c r="M34" s="38">
        <v>103</v>
      </c>
      <c r="N34" s="38">
        <v>0</v>
      </c>
      <c r="O34" s="39">
        <v>0</v>
      </c>
    </row>
    <row r="35" spans="1:15" ht="15">
      <c r="A35" s="6" t="s">
        <v>28</v>
      </c>
      <c r="B35" s="7">
        <v>7</v>
      </c>
      <c r="L35" s="37">
        <v>2</v>
      </c>
      <c r="M35" s="38">
        <v>103</v>
      </c>
      <c r="N35" s="38">
        <v>0</v>
      </c>
      <c r="O35" s="39">
        <v>0</v>
      </c>
    </row>
    <row r="36" spans="1:15" ht="15">
      <c r="A36" s="6" t="s">
        <v>29</v>
      </c>
      <c r="B36" s="7">
        <v>7</v>
      </c>
      <c r="L36" s="37">
        <v>3</v>
      </c>
      <c r="M36" s="38">
        <v>98</v>
      </c>
      <c r="N36" s="38">
        <v>5</v>
      </c>
      <c r="O36" s="39">
        <v>0</v>
      </c>
    </row>
    <row r="37" spans="1:15" ht="15">
      <c r="A37" s="6" t="s">
        <v>30</v>
      </c>
      <c r="B37" s="7">
        <v>10</v>
      </c>
      <c r="L37" s="37">
        <v>4</v>
      </c>
      <c r="M37" s="38">
        <v>94</v>
      </c>
      <c r="N37" s="38">
        <v>4</v>
      </c>
      <c r="O37" s="39">
        <v>0</v>
      </c>
    </row>
    <row r="38" spans="1:15" ht="15">
      <c r="A38" s="8" t="s">
        <v>31</v>
      </c>
      <c r="B38" s="9">
        <f>SUM(B34:B37)</f>
        <v>50</v>
      </c>
      <c r="L38" s="37">
        <v>5</v>
      </c>
      <c r="M38" s="38">
        <v>87</v>
      </c>
      <c r="N38" s="38">
        <v>7</v>
      </c>
      <c r="O38" s="39">
        <v>0</v>
      </c>
    </row>
    <row r="39" spans="1:15" ht="15">
      <c r="A39" s="10" t="s">
        <v>32</v>
      </c>
      <c r="B39" s="11">
        <f>B40-B38</f>
        <v>31</v>
      </c>
      <c r="L39" s="37">
        <v>6</v>
      </c>
      <c r="M39" s="38">
        <v>83</v>
      </c>
      <c r="N39" s="38">
        <v>4</v>
      </c>
      <c r="O39" s="39">
        <v>0</v>
      </c>
    </row>
    <row r="40" spans="1:15" ht="15">
      <c r="A40" s="12" t="s">
        <v>33</v>
      </c>
      <c r="B40" s="13">
        <v>81</v>
      </c>
      <c r="L40" s="37">
        <v>7</v>
      </c>
      <c r="M40" s="38">
        <v>83</v>
      </c>
      <c r="N40" s="38">
        <v>0</v>
      </c>
      <c r="O40" s="39">
        <v>0</v>
      </c>
    </row>
    <row r="41" spans="1:15" ht="15">
      <c r="L41" s="37">
        <v>8</v>
      </c>
      <c r="M41" s="38">
        <v>74</v>
      </c>
      <c r="N41" s="38">
        <v>9</v>
      </c>
      <c r="O41" s="39">
        <v>0</v>
      </c>
    </row>
    <row r="42" spans="1:15" ht="15">
      <c r="L42" s="37">
        <v>9</v>
      </c>
      <c r="M42" s="38">
        <v>74</v>
      </c>
      <c r="N42" s="38">
        <v>0</v>
      </c>
      <c r="O42" s="39">
        <v>0</v>
      </c>
    </row>
    <row r="43" spans="1:15" ht="15">
      <c r="L43" s="37">
        <v>10</v>
      </c>
      <c r="M43" s="38">
        <v>74</v>
      </c>
      <c r="N43" s="38">
        <v>0</v>
      </c>
      <c r="O43" s="39">
        <v>0</v>
      </c>
    </row>
    <row r="44" spans="1:15" ht="15">
      <c r="L44" s="37">
        <v>11</v>
      </c>
      <c r="M44" s="38">
        <v>74</v>
      </c>
      <c r="N44" s="38">
        <v>0</v>
      </c>
      <c r="O44" s="39">
        <v>0</v>
      </c>
    </row>
    <row r="45" spans="1:15" ht="15">
      <c r="L45" s="37">
        <v>12</v>
      </c>
      <c r="M45" s="38">
        <v>74</v>
      </c>
      <c r="N45" s="38">
        <v>0</v>
      </c>
      <c r="O45" s="39">
        <v>0</v>
      </c>
    </row>
    <row r="46" spans="1:15" ht="15">
      <c r="L46" s="37">
        <v>13</v>
      </c>
      <c r="M46" s="38">
        <f t="shared" ref="M46:M65" si="0">M45-N45</f>
        <v>74</v>
      </c>
      <c r="N46" s="38">
        <v>0</v>
      </c>
      <c r="O46" s="39">
        <v>0</v>
      </c>
    </row>
    <row r="47" spans="1:15" ht="15">
      <c r="L47" s="37">
        <v>14</v>
      </c>
      <c r="M47" s="38">
        <f t="shared" si="0"/>
        <v>74</v>
      </c>
      <c r="N47" s="38">
        <v>0</v>
      </c>
      <c r="O47" s="39">
        <v>0</v>
      </c>
    </row>
    <row r="48" spans="1:15" ht="15">
      <c r="L48" s="37">
        <v>15</v>
      </c>
      <c r="M48" s="38">
        <f t="shared" si="0"/>
        <v>74</v>
      </c>
      <c r="N48" s="38">
        <v>0</v>
      </c>
      <c r="O48" s="39">
        <v>0</v>
      </c>
    </row>
    <row r="49" spans="12:15" ht="15">
      <c r="L49" s="37">
        <v>16</v>
      </c>
      <c r="M49" s="38">
        <v>71</v>
      </c>
      <c r="N49" s="38">
        <v>3</v>
      </c>
      <c r="O49" s="39">
        <v>0</v>
      </c>
    </row>
    <row r="50" spans="12:15" ht="15">
      <c r="L50" s="37">
        <v>17</v>
      </c>
      <c r="M50" s="38">
        <v>70</v>
      </c>
      <c r="N50" s="38">
        <v>0</v>
      </c>
      <c r="O50" s="39">
        <v>1</v>
      </c>
    </row>
    <row r="51" spans="12:15" ht="15">
      <c r="L51" s="37">
        <v>18</v>
      </c>
      <c r="M51" s="38">
        <v>65</v>
      </c>
      <c r="N51" s="38">
        <v>3</v>
      </c>
      <c r="O51" s="39">
        <v>2</v>
      </c>
    </row>
    <row r="52" spans="12:15" ht="15">
      <c r="L52" s="37">
        <v>19</v>
      </c>
      <c r="M52" s="38">
        <v>65</v>
      </c>
      <c r="N52" s="38">
        <v>0</v>
      </c>
      <c r="O52" s="39">
        <v>0</v>
      </c>
    </row>
    <row r="53" spans="12:15" ht="15">
      <c r="L53" s="37">
        <v>20</v>
      </c>
      <c r="M53" s="38">
        <f t="shared" si="0"/>
        <v>65</v>
      </c>
      <c r="N53" s="38">
        <v>0</v>
      </c>
      <c r="O53" s="39">
        <v>0</v>
      </c>
    </row>
    <row r="54" spans="12:15" ht="15">
      <c r="L54" s="37">
        <v>21</v>
      </c>
      <c r="M54" s="38">
        <v>56</v>
      </c>
      <c r="N54" s="38">
        <v>5</v>
      </c>
      <c r="O54" s="39">
        <v>4</v>
      </c>
    </row>
    <row r="55" spans="12:15" ht="15">
      <c r="L55" s="37">
        <v>22</v>
      </c>
      <c r="M55" s="38">
        <v>56</v>
      </c>
      <c r="N55" s="38">
        <v>0</v>
      </c>
      <c r="O55" s="39">
        <v>0</v>
      </c>
    </row>
    <row r="56" spans="12:15" ht="15">
      <c r="L56" s="37">
        <v>23</v>
      </c>
      <c r="M56" s="38">
        <f t="shared" si="0"/>
        <v>56</v>
      </c>
      <c r="N56" s="38">
        <v>0</v>
      </c>
      <c r="O56" s="39">
        <v>0</v>
      </c>
    </row>
    <row r="57" spans="12:15" ht="15">
      <c r="L57" s="37">
        <v>24</v>
      </c>
      <c r="M57" s="38">
        <f t="shared" si="0"/>
        <v>56</v>
      </c>
      <c r="N57" s="38">
        <v>0</v>
      </c>
      <c r="O57" s="39">
        <v>0</v>
      </c>
    </row>
    <row r="58" spans="12:15" ht="15">
      <c r="L58" s="37">
        <v>25</v>
      </c>
      <c r="M58" s="38">
        <v>53</v>
      </c>
      <c r="N58" s="38">
        <v>3</v>
      </c>
      <c r="O58" s="39">
        <v>0</v>
      </c>
    </row>
    <row r="59" spans="12:15" ht="15">
      <c r="L59" s="37">
        <v>26</v>
      </c>
      <c r="M59" s="38">
        <v>50</v>
      </c>
      <c r="N59" s="38">
        <v>2</v>
      </c>
      <c r="O59" s="39">
        <v>1</v>
      </c>
    </row>
    <row r="60" spans="12:15" ht="15">
      <c r="L60" s="37">
        <v>27</v>
      </c>
      <c r="M60" s="38">
        <v>43</v>
      </c>
      <c r="N60" s="38">
        <v>5</v>
      </c>
      <c r="O60" s="39">
        <v>2</v>
      </c>
    </row>
    <row r="61" spans="12:15" ht="15">
      <c r="L61" s="37">
        <v>28</v>
      </c>
      <c r="M61" s="38">
        <v>42</v>
      </c>
      <c r="N61" s="38">
        <v>0</v>
      </c>
      <c r="O61" s="39">
        <v>1</v>
      </c>
    </row>
    <row r="62" spans="12:15" ht="15">
      <c r="L62" s="37">
        <v>29</v>
      </c>
      <c r="M62" s="38">
        <f t="shared" si="0"/>
        <v>42</v>
      </c>
      <c r="N62" s="38">
        <v>0</v>
      </c>
      <c r="O62" s="39">
        <v>0</v>
      </c>
    </row>
    <row r="63" spans="12:15" ht="15">
      <c r="L63" s="37">
        <v>30</v>
      </c>
      <c r="M63" s="38">
        <f t="shared" si="0"/>
        <v>42</v>
      </c>
      <c r="N63" s="38">
        <v>0</v>
      </c>
      <c r="O63" s="39">
        <v>0</v>
      </c>
    </row>
    <row r="64" spans="12:15" ht="15">
      <c r="L64" s="37">
        <v>31</v>
      </c>
      <c r="M64" s="38">
        <f t="shared" si="0"/>
        <v>42</v>
      </c>
      <c r="N64" s="38">
        <v>0</v>
      </c>
      <c r="O64" s="39">
        <v>0</v>
      </c>
    </row>
    <row r="65" spans="12:15" ht="15">
      <c r="L65" s="37" t="s">
        <v>34</v>
      </c>
      <c r="M65" s="38">
        <f t="shared" si="0"/>
        <v>42</v>
      </c>
      <c r="N65" s="38">
        <f>SUM(N34:N64)</f>
        <v>50</v>
      </c>
      <c r="O65" s="39">
        <f>SUM(O34:O64)</f>
        <v>11</v>
      </c>
    </row>
    <row r="66" spans="12:15" ht="23.4" customHeight="1">
      <c r="L66" s="40" t="s">
        <v>35</v>
      </c>
      <c r="M66" s="41">
        <f>SUM(N65+O65)</f>
        <v>61</v>
      </c>
      <c r="N66" s="42"/>
      <c r="O66" s="42"/>
    </row>
    <row r="85" spans="4:18" s="289" customFormat="1" ht="36" customHeight="1"/>
    <row r="87" spans="4:18" ht="28.2" customHeight="1" thickBot="1"/>
    <row r="88" spans="4:18" ht="58.8" customHeight="1" thickBot="1">
      <c r="D88" s="290" t="s">
        <v>398</v>
      </c>
      <c r="E88" s="291"/>
      <c r="F88" s="291"/>
      <c r="G88" s="292"/>
      <c r="H88" s="2"/>
      <c r="I88" s="2"/>
      <c r="J88" s="2"/>
      <c r="K88" s="2"/>
    </row>
    <row r="89" spans="4:18" ht="36" customHeight="1"/>
    <row r="90" spans="4:18" s="1" customFormat="1" ht="28.8" customHeight="1">
      <c r="D90" s="293" t="s">
        <v>39</v>
      </c>
      <c r="E90" s="294" t="s">
        <v>399</v>
      </c>
      <c r="F90" s="294"/>
      <c r="G90" s="294"/>
      <c r="H90" s="2"/>
      <c r="I90" s="2"/>
      <c r="J90" s="2"/>
      <c r="K90" s="2"/>
      <c r="M90" s="284"/>
      <c r="N90" s="287"/>
      <c r="O90" s="287"/>
      <c r="P90" s="287"/>
      <c r="Q90" s="287"/>
      <c r="R90" s="287"/>
    </row>
    <row r="91" spans="4:18" s="1" customFormat="1" ht="28.8" customHeight="1">
      <c r="D91" s="293"/>
      <c r="E91" s="288" t="s">
        <v>36</v>
      </c>
      <c r="F91" s="288"/>
      <c r="G91" s="288"/>
      <c r="H91" s="137"/>
      <c r="I91" s="137"/>
      <c r="J91" s="137"/>
      <c r="K91" s="137"/>
      <c r="M91" s="284"/>
      <c r="N91" s="284"/>
      <c r="O91" s="287"/>
      <c r="P91" s="284"/>
      <c r="Q91" s="287"/>
      <c r="R91" s="287"/>
    </row>
    <row r="92" spans="4:18" s="1" customFormat="1" ht="26.4" customHeight="1">
      <c r="D92" s="293"/>
      <c r="E92" s="173" t="s">
        <v>402</v>
      </c>
      <c r="F92" s="173" t="s">
        <v>37</v>
      </c>
      <c r="G92" s="173" t="s">
        <v>38</v>
      </c>
      <c r="H92" s="4"/>
      <c r="I92" s="4" t="s">
        <v>400</v>
      </c>
      <c r="J92" s="4"/>
      <c r="M92" s="284"/>
      <c r="N92" s="284"/>
      <c r="O92" s="287"/>
      <c r="P92" s="284"/>
      <c r="Q92" s="287"/>
      <c r="R92" s="287"/>
    </row>
    <row r="93" spans="4:18" s="1" customFormat="1" ht="15" hidden="1" customHeight="1">
      <c r="D93" s="299" t="s">
        <v>401</v>
      </c>
      <c r="E93" s="300"/>
      <c r="F93" s="301"/>
      <c r="G93" s="174"/>
      <c r="H93" s="4"/>
      <c r="I93" s="4"/>
      <c r="J93" s="4"/>
      <c r="M93" s="4"/>
      <c r="N93" s="4"/>
      <c r="P93" s="4"/>
    </row>
    <row r="94" spans="4:18" s="1" customFormat="1" ht="20.399999999999999" hidden="1" customHeight="1">
      <c r="D94" s="295" t="s">
        <v>7</v>
      </c>
      <c r="E94" s="296"/>
      <c r="F94" s="296"/>
      <c r="G94" s="297"/>
      <c r="H94" s="284" t="s">
        <v>400</v>
      </c>
      <c r="I94" s="4"/>
      <c r="M94" s="4"/>
      <c r="N94" s="4"/>
      <c r="O94" s="4"/>
      <c r="P94" s="4"/>
      <c r="Q94" s="4"/>
    </row>
    <row r="95" spans="4:18" s="1" customFormat="1" ht="12" hidden="1" customHeight="1">
      <c r="D95" s="175">
        <v>1</v>
      </c>
      <c r="E95" s="176"/>
      <c r="F95" s="177"/>
      <c r="G95" s="177"/>
      <c r="H95" s="284"/>
      <c r="I95" s="4"/>
      <c r="M95" s="4"/>
      <c r="N95" s="4"/>
      <c r="O95" s="4"/>
      <c r="P95" s="4"/>
      <c r="Q95" s="4"/>
    </row>
    <row r="96" spans="4:18" s="1" customFormat="1" ht="12" hidden="1" customHeight="1">
      <c r="D96" s="175">
        <v>2</v>
      </c>
      <c r="E96" s="176"/>
      <c r="F96" s="177"/>
      <c r="G96" s="177"/>
      <c r="H96" s="284"/>
      <c r="I96" s="4"/>
      <c r="M96" s="4"/>
      <c r="N96" s="4"/>
      <c r="O96" s="4"/>
      <c r="P96" s="4"/>
      <c r="Q96" s="4"/>
    </row>
    <row r="97" spans="4:17" s="1" customFormat="1" ht="12" hidden="1" customHeight="1">
      <c r="D97" s="175">
        <v>3</v>
      </c>
      <c r="E97" s="176"/>
      <c r="F97" s="177"/>
      <c r="G97" s="177"/>
      <c r="H97" s="284"/>
      <c r="I97" s="4"/>
      <c r="M97" s="4"/>
      <c r="N97" s="4"/>
      <c r="O97" s="4"/>
      <c r="P97" s="4"/>
      <c r="Q97" s="4"/>
    </row>
    <row r="98" spans="4:17" s="1" customFormat="1" ht="12" hidden="1" customHeight="1">
      <c r="D98" s="175">
        <v>4</v>
      </c>
      <c r="E98" s="176"/>
      <c r="F98" s="177"/>
      <c r="G98" s="177"/>
      <c r="H98" s="284"/>
      <c r="I98" s="4"/>
      <c r="M98" s="4"/>
      <c r="N98" s="4"/>
      <c r="O98" s="4"/>
      <c r="P98" s="4"/>
      <c r="Q98" s="4"/>
    </row>
    <row r="99" spans="4:17" s="1" customFormat="1" ht="15" hidden="1" customHeight="1">
      <c r="D99" s="299" t="s">
        <v>401</v>
      </c>
      <c r="E99" s="300"/>
      <c r="F99" s="301"/>
      <c r="G99" s="174"/>
      <c r="H99" s="4"/>
      <c r="I99" s="4"/>
      <c r="M99" s="4"/>
      <c r="N99" s="4"/>
      <c r="O99" s="4"/>
      <c r="P99" s="4"/>
      <c r="Q99" s="4"/>
    </row>
    <row r="100" spans="4:17" s="1" customFormat="1" ht="20.399999999999999" hidden="1" customHeight="1">
      <c r="D100" s="295" t="s">
        <v>8</v>
      </c>
      <c r="E100" s="296"/>
      <c r="F100" s="296"/>
      <c r="G100" s="297"/>
      <c r="H100" s="284"/>
      <c r="I100" s="4"/>
      <c r="M100" s="4"/>
      <c r="N100" s="4"/>
      <c r="O100" s="4"/>
      <c r="P100" s="4"/>
      <c r="Q100" s="4"/>
    </row>
    <row r="101" spans="4:17" s="1" customFormat="1" ht="12" hidden="1" customHeight="1">
      <c r="D101" s="175">
        <v>1</v>
      </c>
      <c r="E101" s="177"/>
      <c r="F101" s="177"/>
      <c r="G101" s="177"/>
      <c r="H101" s="284"/>
      <c r="I101" s="4"/>
      <c r="M101" s="4"/>
      <c r="N101" s="4"/>
      <c r="O101" s="4"/>
      <c r="P101" s="4"/>
      <c r="Q101" s="4"/>
    </row>
    <row r="102" spans="4:17" s="1" customFormat="1" ht="12" hidden="1" customHeight="1">
      <c r="D102" s="175">
        <v>2</v>
      </c>
      <c r="E102" s="177"/>
      <c r="F102" s="177"/>
      <c r="G102" s="177"/>
      <c r="H102" s="284"/>
      <c r="I102" s="4"/>
      <c r="M102" s="4"/>
      <c r="N102" s="4"/>
      <c r="O102" s="4"/>
      <c r="P102" s="4"/>
      <c r="Q102" s="4"/>
    </row>
    <row r="103" spans="4:17" s="1" customFormat="1" ht="12" hidden="1" customHeight="1">
      <c r="D103" s="175">
        <v>3</v>
      </c>
      <c r="E103" s="177"/>
      <c r="F103" s="177"/>
      <c r="G103" s="177"/>
      <c r="H103" s="284"/>
      <c r="I103" s="4"/>
      <c r="M103" s="4"/>
      <c r="N103" s="4"/>
      <c r="O103" s="4"/>
      <c r="P103" s="4"/>
      <c r="Q103" s="4"/>
    </row>
    <row r="104" spans="4:17" s="1" customFormat="1" ht="12" hidden="1" customHeight="1">
      <c r="D104" s="175">
        <v>4</v>
      </c>
      <c r="E104" s="177"/>
      <c r="F104" s="177"/>
      <c r="G104" s="177"/>
      <c r="H104" s="284"/>
      <c r="I104" s="4"/>
      <c r="M104" s="4"/>
      <c r="N104" s="4"/>
      <c r="O104" s="4"/>
      <c r="P104" s="4"/>
      <c r="Q104" s="4"/>
    </row>
    <row r="105" spans="4:17" s="1" customFormat="1" ht="12" hidden="1" customHeight="1">
      <c r="D105" s="299" t="s">
        <v>401</v>
      </c>
      <c r="E105" s="300"/>
      <c r="F105" s="301"/>
      <c r="G105" s="174"/>
      <c r="H105" s="4"/>
      <c r="I105" s="4"/>
      <c r="M105" s="4"/>
      <c r="N105" s="4"/>
      <c r="O105" s="4"/>
      <c r="P105" s="4"/>
      <c r="Q105" s="4"/>
    </row>
    <row r="106" spans="4:17" s="1" customFormat="1" ht="20.399999999999999" hidden="1" customHeight="1">
      <c r="D106" s="295" t="s">
        <v>10</v>
      </c>
      <c r="E106" s="296"/>
      <c r="F106" s="296"/>
      <c r="G106" s="297"/>
      <c r="H106" s="284"/>
      <c r="I106" s="4"/>
      <c r="M106" s="4"/>
      <c r="N106" s="4"/>
      <c r="O106" s="4"/>
      <c r="P106" s="4"/>
      <c r="Q106" s="4"/>
    </row>
    <row r="107" spans="4:17" s="1" customFormat="1" ht="12" hidden="1" customHeight="1">
      <c r="D107" s="175">
        <v>1</v>
      </c>
      <c r="E107" s="176"/>
      <c r="F107" s="177"/>
      <c r="G107" s="177"/>
      <c r="H107" s="284"/>
      <c r="I107" s="4"/>
      <c r="M107" s="4"/>
      <c r="N107" s="4"/>
      <c r="O107" s="4"/>
      <c r="P107" s="4"/>
      <c r="Q107" s="4"/>
    </row>
    <row r="108" spans="4:17" s="1" customFormat="1" ht="12" hidden="1" customHeight="1">
      <c r="D108" s="175">
        <v>2</v>
      </c>
      <c r="E108" s="176"/>
      <c r="F108" s="177"/>
      <c r="G108" s="177"/>
      <c r="H108" s="284"/>
      <c r="I108" s="4"/>
      <c r="M108" s="4"/>
      <c r="N108" s="4"/>
      <c r="O108" s="4"/>
      <c r="P108" s="4"/>
      <c r="Q108" s="4"/>
    </row>
    <row r="109" spans="4:17" s="1" customFormat="1" ht="12" hidden="1" customHeight="1">
      <c r="D109" s="175">
        <v>3</v>
      </c>
      <c r="E109" s="176"/>
      <c r="F109" s="177"/>
      <c r="G109" s="177"/>
      <c r="H109" s="284"/>
      <c r="I109" s="4"/>
      <c r="M109" s="4"/>
      <c r="N109" s="4"/>
      <c r="O109" s="4"/>
      <c r="P109" s="4"/>
      <c r="Q109" s="4"/>
    </row>
    <row r="110" spans="4:17" s="1" customFormat="1" ht="12" hidden="1" customHeight="1">
      <c r="D110" s="175">
        <v>4</v>
      </c>
      <c r="E110" s="176"/>
      <c r="F110" s="177"/>
      <c r="G110" s="177"/>
      <c r="H110" s="284"/>
      <c r="I110" s="4"/>
      <c r="M110" s="4"/>
      <c r="N110" s="4"/>
      <c r="O110" s="4"/>
      <c r="P110" s="4"/>
      <c r="Q110" s="4"/>
    </row>
    <row r="111" spans="4:17" s="1" customFormat="1" ht="15" hidden="1" customHeight="1">
      <c r="D111" s="299" t="s">
        <v>401</v>
      </c>
      <c r="E111" s="300"/>
      <c r="F111" s="301"/>
      <c r="G111" s="174"/>
      <c r="H111" s="4"/>
      <c r="I111" s="4"/>
      <c r="M111" s="4"/>
      <c r="N111" s="4"/>
      <c r="O111" s="4"/>
      <c r="P111" s="4"/>
      <c r="Q111" s="4"/>
    </row>
    <row r="112" spans="4:17" s="1" customFormat="1" ht="20.399999999999999" hidden="1" customHeight="1">
      <c r="D112" s="295" t="s">
        <v>12</v>
      </c>
      <c r="E112" s="296"/>
      <c r="F112" s="296"/>
      <c r="G112" s="297"/>
      <c r="H112" s="284"/>
      <c r="I112" s="4"/>
      <c r="M112" s="4"/>
      <c r="N112" s="4"/>
      <c r="O112" s="4"/>
      <c r="P112" s="4"/>
      <c r="Q112" s="4"/>
    </row>
    <row r="113" spans="4:17" s="1" customFormat="1" ht="12" hidden="1" customHeight="1">
      <c r="D113" s="175">
        <v>1</v>
      </c>
      <c r="E113" s="176"/>
      <c r="F113" s="177"/>
      <c r="G113" s="177"/>
      <c r="H113" s="284"/>
      <c r="I113" s="4"/>
      <c r="M113" s="4"/>
      <c r="N113" s="4"/>
      <c r="O113" s="4"/>
      <c r="P113" s="4"/>
      <c r="Q113" s="4"/>
    </row>
    <row r="114" spans="4:17" s="1" customFormat="1" ht="12" hidden="1" customHeight="1">
      <c r="D114" s="175">
        <v>2</v>
      </c>
      <c r="E114" s="176"/>
      <c r="F114" s="177"/>
      <c r="G114" s="177"/>
      <c r="H114" s="284"/>
      <c r="I114" s="4"/>
      <c r="M114" s="4"/>
      <c r="N114" s="4"/>
      <c r="O114" s="4"/>
      <c r="P114" s="4"/>
      <c r="Q114" s="4"/>
    </row>
    <row r="115" spans="4:17" s="1" customFormat="1" ht="12" hidden="1" customHeight="1">
      <c r="D115" s="175">
        <v>3</v>
      </c>
      <c r="E115" s="176"/>
      <c r="F115" s="177"/>
      <c r="G115" s="177"/>
      <c r="H115" s="284"/>
      <c r="I115" s="4"/>
      <c r="M115" s="4"/>
      <c r="N115" s="4"/>
      <c r="O115" s="4"/>
      <c r="P115" s="4"/>
      <c r="Q115" s="4"/>
    </row>
    <row r="116" spans="4:17" s="1" customFormat="1" ht="12" hidden="1" customHeight="1">
      <c r="D116" s="175">
        <v>4</v>
      </c>
      <c r="E116" s="176"/>
      <c r="F116" s="177"/>
      <c r="G116" s="177"/>
      <c r="H116" s="284"/>
      <c r="I116" s="4"/>
      <c r="M116" s="4"/>
      <c r="N116" s="4"/>
      <c r="O116" s="4"/>
      <c r="P116" s="4"/>
      <c r="Q116" s="4"/>
    </row>
    <row r="117" spans="4:17" s="1" customFormat="1" ht="15" hidden="1" customHeight="1">
      <c r="D117" s="299" t="s">
        <v>401</v>
      </c>
      <c r="E117" s="300"/>
      <c r="F117" s="301"/>
      <c r="G117" s="174"/>
      <c r="H117" s="4"/>
      <c r="I117" s="4"/>
      <c r="M117" s="4"/>
      <c r="N117" s="4"/>
      <c r="O117" s="4"/>
      <c r="P117" s="4"/>
      <c r="Q117" s="4"/>
    </row>
    <row r="118" spans="4:17" s="157" customFormat="1" ht="20.399999999999999" hidden="1" customHeight="1">
      <c r="D118" s="295" t="s">
        <v>13</v>
      </c>
      <c r="E118" s="296"/>
      <c r="F118" s="296"/>
      <c r="G118" s="297"/>
      <c r="H118" s="298"/>
      <c r="I118" s="170"/>
      <c r="J118" s="172"/>
      <c r="M118" s="170"/>
      <c r="N118" s="170"/>
      <c r="O118" s="170"/>
      <c r="P118" s="170"/>
      <c r="Q118" s="170"/>
    </row>
    <row r="119" spans="4:17" s="1" customFormat="1" ht="12" hidden="1" customHeight="1">
      <c r="D119" s="175">
        <v>1</v>
      </c>
      <c r="E119" s="177"/>
      <c r="F119" s="177"/>
      <c r="G119" s="177"/>
      <c r="H119" s="298"/>
      <c r="I119" s="4"/>
      <c r="M119" s="4"/>
      <c r="N119" s="4"/>
      <c r="O119" s="4"/>
      <c r="P119" s="4"/>
      <c r="Q119" s="4"/>
    </row>
    <row r="120" spans="4:17" s="1" customFormat="1" ht="12" hidden="1" customHeight="1">
      <c r="D120" s="175">
        <v>2</v>
      </c>
      <c r="E120" s="177"/>
      <c r="F120" s="177"/>
      <c r="G120" s="177"/>
      <c r="H120" s="298"/>
      <c r="I120" s="4"/>
      <c r="M120" s="4"/>
      <c r="N120" s="4"/>
      <c r="O120" s="4"/>
      <c r="P120" s="4"/>
      <c r="Q120" s="4"/>
    </row>
    <row r="121" spans="4:17" s="1" customFormat="1" ht="12" hidden="1" customHeight="1">
      <c r="D121" s="175">
        <v>3</v>
      </c>
      <c r="E121" s="177"/>
      <c r="F121" s="177"/>
      <c r="G121" s="177"/>
      <c r="H121" s="298"/>
      <c r="I121" s="4"/>
      <c r="M121" s="4"/>
      <c r="N121" s="4"/>
      <c r="O121" s="4"/>
      <c r="P121" s="4"/>
      <c r="Q121" s="4"/>
    </row>
    <row r="122" spans="4:17" s="1" customFormat="1" ht="12" hidden="1" customHeight="1">
      <c r="D122" s="175">
        <v>4</v>
      </c>
      <c r="E122" s="177"/>
      <c r="F122" s="177"/>
      <c r="G122" s="177"/>
      <c r="H122" s="298"/>
      <c r="I122" s="4"/>
      <c r="M122" s="4"/>
      <c r="N122" s="4"/>
      <c r="O122" s="4"/>
      <c r="P122" s="4"/>
      <c r="Q122" s="4"/>
    </row>
    <row r="123" spans="4:17" s="1" customFormat="1" ht="15" customHeight="1">
      <c r="D123" s="299" t="s">
        <v>401</v>
      </c>
      <c r="E123" s="300"/>
      <c r="F123" s="301"/>
      <c r="G123" s="174" t="e">
        <f>80+50-#REF!-#REF!</f>
        <v>#REF!</v>
      </c>
      <c r="H123" s="170"/>
      <c r="I123" s="4"/>
      <c r="M123" s="4"/>
      <c r="N123" s="4"/>
      <c r="O123" s="4"/>
      <c r="P123" s="4"/>
      <c r="Q123" s="4"/>
    </row>
    <row r="124" spans="4:17" s="1" customFormat="1" ht="20.399999999999999" customHeight="1">
      <c r="D124" s="295" t="s">
        <v>14</v>
      </c>
      <c r="E124" s="296"/>
      <c r="F124" s="296"/>
      <c r="G124" s="297"/>
      <c r="H124" s="284"/>
      <c r="I124" s="172"/>
      <c r="M124" s="4"/>
      <c r="N124" s="4"/>
      <c r="O124" s="4"/>
      <c r="P124" s="4"/>
      <c r="Q124" s="4"/>
    </row>
    <row r="125" spans="4:17" s="1" customFormat="1" ht="12" customHeight="1">
      <c r="D125" s="175">
        <v>1</v>
      </c>
      <c r="E125" s="178">
        <v>7</v>
      </c>
      <c r="F125" s="177">
        <v>18</v>
      </c>
      <c r="G125" s="177" t="e">
        <f>G123-F125+E125</f>
        <v>#REF!</v>
      </c>
      <c r="H125" s="284"/>
      <c r="I125" s="4"/>
      <c r="M125" s="4"/>
      <c r="N125" s="4"/>
      <c r="O125" s="4"/>
      <c r="P125" s="4"/>
      <c r="Q125" s="4"/>
    </row>
    <row r="126" spans="4:17" s="1" customFormat="1" ht="12" customHeight="1">
      <c r="D126" s="175">
        <v>2</v>
      </c>
      <c r="E126" s="178">
        <v>14</v>
      </c>
      <c r="F126" s="177">
        <v>9</v>
      </c>
      <c r="G126" s="177" t="e">
        <f>G125-F126+E126</f>
        <v>#REF!</v>
      </c>
      <c r="H126" s="284"/>
      <c r="I126" s="4"/>
      <c r="M126" s="4"/>
      <c r="N126" s="4"/>
      <c r="O126" s="4"/>
      <c r="P126" s="4"/>
      <c r="Q126" s="4"/>
    </row>
    <row r="127" spans="4:17" s="1" customFormat="1" ht="12" customHeight="1">
      <c r="D127" s="175">
        <v>3</v>
      </c>
      <c r="E127" s="178">
        <v>6</v>
      </c>
      <c r="F127" s="177">
        <v>13</v>
      </c>
      <c r="G127" s="177" t="e">
        <f t="shared" ref="G127:G128" si="1">G126-F127+E127</f>
        <v>#REF!</v>
      </c>
      <c r="H127" s="284"/>
      <c r="I127" s="4"/>
      <c r="M127" s="4"/>
      <c r="N127" s="4"/>
      <c r="O127" s="4"/>
      <c r="P127" s="4"/>
      <c r="Q127" s="4"/>
    </row>
    <row r="128" spans="4:17" s="1" customFormat="1" ht="12" customHeight="1">
      <c r="D128" s="175">
        <v>4</v>
      </c>
      <c r="E128" s="178">
        <v>21</v>
      </c>
      <c r="F128" s="177">
        <v>30</v>
      </c>
      <c r="G128" s="177" t="e">
        <f t="shared" si="1"/>
        <v>#REF!</v>
      </c>
      <c r="H128" s="284"/>
      <c r="I128" s="4"/>
      <c r="M128" s="4"/>
      <c r="N128" s="4"/>
      <c r="O128" s="4"/>
      <c r="P128" s="4"/>
      <c r="Q128" s="4"/>
    </row>
    <row r="129" spans="4:17" s="1" customFormat="1" ht="15" customHeight="1">
      <c r="D129" s="179" t="s">
        <v>401</v>
      </c>
      <c r="E129" s="180">
        <f>SUM(E125:E128)</f>
        <v>48</v>
      </c>
      <c r="F129" s="181">
        <f>SUM(F125:F128)</f>
        <v>70</v>
      </c>
      <c r="G129" s="174" t="e">
        <f>G128</f>
        <v>#REF!</v>
      </c>
      <c r="H129" s="4"/>
      <c r="I129" s="4"/>
      <c r="M129" s="4"/>
      <c r="N129" s="4"/>
      <c r="O129" s="4"/>
      <c r="P129" s="4"/>
      <c r="Q129" s="4"/>
    </row>
    <row r="130" spans="4:17" s="1" customFormat="1" ht="20.399999999999999" customHeight="1">
      <c r="D130" s="295" t="s">
        <v>15</v>
      </c>
      <c r="E130" s="296"/>
      <c r="F130" s="296"/>
      <c r="G130" s="297"/>
      <c r="H130" s="4"/>
      <c r="I130" s="4"/>
      <c r="M130" s="4"/>
      <c r="N130" s="4"/>
      <c r="O130" s="4"/>
      <c r="P130" s="4"/>
      <c r="Q130" s="4"/>
    </row>
    <row r="131" spans="4:17" s="1" customFormat="1" ht="12" customHeight="1">
      <c r="D131" s="175">
        <v>1</v>
      </c>
      <c r="E131" s="178">
        <f>IF(COUNTIFS(Table16[สัปดาห์แจ้งซ่อม],"1")=0,"-",COUNTIFS(Table16[สัปดาห์แจ้งซ่อม],"1"))</f>
        <v>62</v>
      </c>
      <c r="F131" s="177">
        <f>IF(COUNTIFS(Table16[สัปดาห์ที่แก้ไข],"1",Table16[สถานะ],"เรียบร้อย")=0,"-",COUNTIFS(Table16[สัปดาห์ที่แก้ไข],"1",Table16[สถานะ],"เรียบร้อย"))</f>
        <v>10</v>
      </c>
      <c r="G131" s="177" t="str">
        <f>IF(ISERROR(G129-F131+E131), "-", G129-F131+E131)</f>
        <v>-</v>
      </c>
      <c r="H131" s="4"/>
      <c r="I131" s="4"/>
      <c r="M131" s="4"/>
      <c r="N131" s="4"/>
      <c r="O131" s="4"/>
      <c r="P131" s="4"/>
      <c r="Q131" s="4"/>
    </row>
    <row r="132" spans="4:17" s="1" customFormat="1" ht="12" customHeight="1">
      <c r="D132" s="175">
        <v>2</v>
      </c>
      <c r="E132" s="178">
        <f>IF(COUNTIFS(Table16[สัปดาห์แจ้งซ่อม],"2")=0,"-",COUNTIFS(Table16[สัปดาห์แจ้งซ่อม],"2"))</f>
        <v>14</v>
      </c>
      <c r="F132" s="177">
        <f>IF(COUNTIFS(Table16[สัปดาห์ที่แก้ไข],"2",Table16[สถานะ],"เรียบร้อย")=0,"-",COUNTIFS(Table16[สัปดาห์ที่แก้ไข],"2",Table16[สถานะ],"เรียบร้อย"))</f>
        <v>3</v>
      </c>
      <c r="G132" s="177" t="str">
        <f>IF(ISERROR(G131-F132+E132), "-", G131-F132+E132)</f>
        <v>-</v>
      </c>
      <c r="H132" s="4"/>
      <c r="I132" s="4"/>
      <c r="M132" s="4"/>
      <c r="N132" s="4"/>
      <c r="O132" s="4"/>
      <c r="P132" s="4"/>
      <c r="Q132" s="4"/>
    </row>
    <row r="133" spans="4:17" s="1" customFormat="1" ht="12" customHeight="1">
      <c r="D133" s="175">
        <v>3</v>
      </c>
      <c r="E133" s="178">
        <f>IF(COUNTIFS(Table16[สัปดาห์แจ้งซ่อม],"3")=0,"-",COUNTIFS(Table16[สัปดาห์แจ้งซ่อม],"3"))</f>
        <v>7</v>
      </c>
      <c r="F133" s="177">
        <f>IF(COUNTIFS(Table16[สัปดาห์ที่แก้ไข],"3",Table16[สถานะ],"เรียบร้อย")=0,"-",COUNTIFS(Table16[สัปดาห์ที่แก้ไข],"3",Table16[สถานะ],"เรียบร้อย"))</f>
        <v>14</v>
      </c>
      <c r="G133" s="177" t="str">
        <f>IF(ISERROR(G132-F133+E133), "-", G132-F133+E133)</f>
        <v>-</v>
      </c>
      <c r="H133" s="4"/>
      <c r="I133" s="4"/>
      <c r="M133" s="4"/>
      <c r="N133" s="4"/>
      <c r="O133" s="4"/>
      <c r="P133" s="4"/>
      <c r="Q133" s="4"/>
    </row>
    <row r="134" spans="4:17" s="1" customFormat="1" ht="12" customHeight="1">
      <c r="D134" s="175">
        <v>4</v>
      </c>
      <c r="E134" s="178">
        <f>IF(COUNTIFS(Table16[สัปดาห์แจ้งซ่อม],"4")=0,"-",COUNTIFS(Table16[สัปดาห์แจ้งซ่อม],"4"))</f>
        <v>7</v>
      </c>
      <c r="F134" s="177">
        <f>IF(COUNTIFS(Table16[สัปดาห์ที่แก้ไข],"4",Table16[สถานะ],"เรียบร้อย")=0,"-",COUNTIFS(Table16[สัปดาห์ที่แก้ไข],"4",Table16[สถานะ],"เรียบร้อย"))</f>
        <v>6</v>
      </c>
      <c r="G134" s="177" t="str">
        <f>IF(ISERROR(G133-F134+E134), "-", G133-F134+E134)</f>
        <v>-</v>
      </c>
      <c r="H134" s="4"/>
      <c r="I134" s="4"/>
      <c r="M134" s="4"/>
      <c r="N134" s="4"/>
      <c r="O134" s="4"/>
      <c r="P134" s="4"/>
      <c r="Q134" s="4"/>
    </row>
    <row r="135" spans="4:17" s="1" customFormat="1" ht="15" customHeight="1">
      <c r="D135" s="179" t="s">
        <v>401</v>
      </c>
      <c r="E135" s="180">
        <f>SUM(E131:E134)</f>
        <v>90</v>
      </c>
      <c r="F135" s="181">
        <f>SUM(F131:F134)</f>
        <v>33</v>
      </c>
      <c r="G135" s="174" t="str">
        <f>G134</f>
        <v>-</v>
      </c>
      <c r="H135" s="4"/>
      <c r="I135" s="4"/>
      <c r="M135" s="4"/>
      <c r="N135" s="4"/>
      <c r="O135" s="4"/>
      <c r="P135" s="4"/>
      <c r="Q135" s="4"/>
    </row>
    <row r="136" spans="4:17" s="1" customFormat="1" ht="20.399999999999999" customHeight="1">
      <c r="D136" s="295" t="s">
        <v>16</v>
      </c>
      <c r="E136" s="296"/>
      <c r="F136" s="296"/>
      <c r="G136" s="297"/>
      <c r="H136" s="171"/>
      <c r="I136" s="4"/>
      <c r="M136" s="4"/>
      <c r="N136" s="4"/>
      <c r="O136" s="4"/>
      <c r="P136" s="171"/>
      <c r="Q136" s="4"/>
    </row>
    <row r="137" spans="4:17" s="1" customFormat="1" ht="12" customHeight="1">
      <c r="D137" s="175">
        <v>1</v>
      </c>
      <c r="E137" s="178">
        <f>IF(COUNTIFS(Table18[สัปดาห์แจ้งซ่อม],"1")=0,"-",COUNTIFS(Table18[สัปดาห์แจ้งซ่อม],"1"))</f>
        <v>10</v>
      </c>
      <c r="F137" s="177">
        <f>IF(COUNTIFS(Table18[สัปดาห์ที่แก้ไข],"1",Table18[สถานะ],"เรียบร้อย")=0,"-",COUNTIFS(Table18[สัปดาห์ที่แก้ไข],"1",Table18[สถานะ],"เรียบร้อย"))</f>
        <v>14</v>
      </c>
      <c r="G137" s="177" t="str">
        <f>IF(ISERROR(G135-F137+E137), "-", G135-F137+E137)</f>
        <v>-</v>
      </c>
      <c r="H137" s="171"/>
      <c r="I137" s="4"/>
      <c r="M137" s="4"/>
      <c r="N137" s="4"/>
      <c r="O137" s="4"/>
      <c r="P137" s="171"/>
      <c r="Q137" s="4"/>
    </row>
    <row r="138" spans="4:17" s="1" customFormat="1" ht="12" customHeight="1">
      <c r="D138" s="175">
        <v>2</v>
      </c>
      <c r="E138" s="178">
        <f>IF(COUNTIFS(Table18[สัปดาห์แจ้งซ่อม],"2")=0,"-",COUNTIFS(Table18[สัปดาห์แจ้งซ่อม],"2"))</f>
        <v>10</v>
      </c>
      <c r="F138" s="177">
        <f>IF(COUNTIFS(Table18[สัปดาห์ที่แก้ไข],"2",Table18[สถานะ],"เรียบร้อย")=0,"-",COUNTIFS(Table18[สัปดาห์ที่แก้ไข],"2",Table18[สถานะ],"เรียบร้อย"))</f>
        <v>4</v>
      </c>
      <c r="G138" s="177" t="str">
        <f>IF(ISERROR(G137-F138+E138), "-", G137-F138+E138)</f>
        <v>-</v>
      </c>
      <c r="H138" s="171"/>
      <c r="I138" s="4"/>
      <c r="M138" s="4"/>
      <c r="N138" s="4"/>
      <c r="O138" s="4"/>
      <c r="P138" s="171"/>
      <c r="Q138" s="4"/>
    </row>
    <row r="139" spans="4:17" s="1" customFormat="1" ht="12" customHeight="1">
      <c r="D139" s="175">
        <v>3</v>
      </c>
      <c r="E139" s="178">
        <f>IF(COUNTIFS(Table18[สัปดาห์แจ้งซ่อม],"3")=0,"-",COUNTIFS(Table18[สัปดาห์แจ้งซ่อม],"3"))</f>
        <v>6</v>
      </c>
      <c r="F139" s="177">
        <f>IF(COUNTIFS(Table18[สัปดาห์ที่แก้ไข],"3",Table18[สถานะ],"เรียบร้อย")=0,"-",COUNTIFS(Table18[สัปดาห์ที่แก้ไข],"3",Table18[สถานะ],"เรียบร้อย"))</f>
        <v>8</v>
      </c>
      <c r="G139" s="177" t="str">
        <f>IF(ISERROR(G138-F139+E139), "-", G138-F139+E139)</f>
        <v>-</v>
      </c>
      <c r="H139" s="171"/>
      <c r="I139" s="4"/>
      <c r="M139" s="4"/>
      <c r="N139" s="4"/>
      <c r="O139" s="4"/>
      <c r="P139" s="171"/>
      <c r="Q139" s="4"/>
    </row>
    <row r="140" spans="4:17" s="1" customFormat="1" ht="12" customHeight="1">
      <c r="D140" s="175">
        <v>4</v>
      </c>
      <c r="E140" s="178" t="str">
        <f>IF(COUNTIFS(Table18[สัปดาห์แจ้งซ่อม],"4")=0,"-",COUNTIFS(Table18[สัปดาห์แจ้งซ่อม],"4"))</f>
        <v>-</v>
      </c>
      <c r="F140" s="177" t="str">
        <f>IF(COUNTIFS(Table18[สัปดาห์ที่แก้ไข],"4",Table18[สถานะ],"เรียบร้อย")=0,"-",COUNTIFS(Table18[สัปดาห์ที่แก้ไข],"4",Table18[สถานะ],"เรียบร้อย"))</f>
        <v>-</v>
      </c>
      <c r="G140" s="177" t="str">
        <f>IF(ISERROR(G139-F140+E140), "-", G139-F140+E140)</f>
        <v>-</v>
      </c>
      <c r="H140" s="171"/>
      <c r="I140" s="4"/>
      <c r="M140" s="4"/>
      <c r="N140" s="4"/>
      <c r="O140" s="4"/>
      <c r="P140" s="171"/>
      <c r="Q140" s="4"/>
    </row>
    <row r="141" spans="4:17" s="1" customFormat="1" ht="15" customHeight="1">
      <c r="D141" s="179" t="s">
        <v>401</v>
      </c>
      <c r="E141" s="180">
        <f>IF(SUM(E137:E140)=0,"-",SUM(E137:E140))</f>
        <v>26</v>
      </c>
      <c r="F141" s="181">
        <f>IF(SUM(F137:F140)=0,"-",SUM(F137:F140))</f>
        <v>26</v>
      </c>
      <c r="G141" s="174" t="str">
        <f>G140</f>
        <v>-</v>
      </c>
      <c r="H141" s="171"/>
      <c r="I141" s="4"/>
      <c r="M141" s="4"/>
      <c r="N141" s="4"/>
      <c r="O141" s="4"/>
      <c r="P141" s="171"/>
      <c r="Q141" s="4"/>
    </row>
    <row r="142" spans="4:17" s="1" customFormat="1" ht="20.399999999999999" customHeight="1">
      <c r="D142" s="295" t="s">
        <v>17</v>
      </c>
      <c r="E142" s="296"/>
      <c r="F142" s="296"/>
      <c r="G142" s="297"/>
      <c r="H142" s="4"/>
      <c r="I142" s="4"/>
      <c r="M142" s="4"/>
      <c r="N142" s="4"/>
      <c r="O142" s="4"/>
      <c r="P142" s="4"/>
      <c r="Q142" s="4"/>
    </row>
    <row r="143" spans="4:17" s="1" customFormat="1" ht="12" customHeight="1">
      <c r="D143" s="175">
        <v>1</v>
      </c>
      <c r="E143" s="177"/>
      <c r="F143" s="177"/>
      <c r="G143" s="177"/>
      <c r="H143" s="4"/>
      <c r="I143" s="4"/>
      <c r="M143" s="4"/>
      <c r="N143" s="4"/>
      <c r="O143" s="4"/>
      <c r="P143" s="4"/>
      <c r="Q143" s="4"/>
    </row>
    <row r="144" spans="4:17" s="1" customFormat="1" ht="12" customHeight="1">
      <c r="D144" s="175">
        <v>2</v>
      </c>
      <c r="E144" s="177"/>
      <c r="F144" s="177"/>
      <c r="G144" s="177"/>
      <c r="H144" s="4"/>
      <c r="I144" s="4"/>
      <c r="M144" s="4"/>
      <c r="N144" s="4"/>
      <c r="O144" s="4"/>
      <c r="P144" s="4"/>
      <c r="Q144" s="4"/>
    </row>
    <row r="145" spans="4:17" s="1" customFormat="1" ht="12" customHeight="1">
      <c r="D145" s="175">
        <v>3</v>
      </c>
      <c r="E145" s="177"/>
      <c r="F145" s="177"/>
      <c r="G145" s="177"/>
      <c r="H145" s="4"/>
      <c r="I145" s="4"/>
      <c r="M145" s="4"/>
      <c r="N145" s="4"/>
      <c r="O145" s="4"/>
      <c r="P145" s="4"/>
      <c r="Q145" s="4"/>
    </row>
    <row r="146" spans="4:17" s="1" customFormat="1" ht="15" customHeight="1">
      <c r="D146" s="175">
        <v>4</v>
      </c>
      <c r="E146" s="177"/>
      <c r="F146" s="177"/>
      <c r="G146" s="177"/>
      <c r="H146" s="4"/>
      <c r="I146" s="4"/>
      <c r="M146" s="4"/>
      <c r="N146" s="4"/>
      <c r="O146" s="4"/>
      <c r="P146" s="4"/>
      <c r="Q146" s="4"/>
    </row>
    <row r="147" spans="4:17" s="1" customFormat="1" ht="15" customHeight="1">
      <c r="D147" s="179" t="s">
        <v>401</v>
      </c>
      <c r="E147" s="180">
        <f>SUM(E143:E146)</f>
        <v>0</v>
      </c>
      <c r="F147" s="181">
        <f>SUM(F143:F146)</f>
        <v>0</v>
      </c>
      <c r="G147" s="174"/>
      <c r="H147" s="4"/>
      <c r="I147" s="4"/>
      <c r="M147" s="4"/>
      <c r="N147" s="4"/>
      <c r="O147" s="4"/>
      <c r="P147" s="4"/>
      <c r="Q147" s="4"/>
    </row>
    <row r="148" spans="4:17" s="1" customFormat="1" ht="20.399999999999999" customHeight="1">
      <c r="D148" s="295" t="s">
        <v>18</v>
      </c>
      <c r="E148" s="296"/>
      <c r="F148" s="296"/>
      <c r="G148" s="297"/>
      <c r="H148" s="4"/>
      <c r="I148" s="4"/>
      <c r="M148" s="4"/>
      <c r="N148" s="4"/>
      <c r="O148" s="4"/>
      <c r="P148" s="4"/>
      <c r="Q148" s="4"/>
    </row>
    <row r="149" spans="4:17" s="1" customFormat="1" ht="12" customHeight="1">
      <c r="D149" s="175">
        <v>1</v>
      </c>
      <c r="E149" s="177"/>
      <c r="F149" s="177"/>
      <c r="G149" s="177"/>
      <c r="H149" s="4"/>
      <c r="I149" s="4"/>
      <c r="M149" s="4"/>
      <c r="N149" s="4"/>
      <c r="O149" s="4"/>
      <c r="P149" s="4"/>
      <c r="Q149" s="4"/>
    </row>
    <row r="150" spans="4:17" s="1" customFormat="1" ht="12" customHeight="1">
      <c r="D150" s="175">
        <v>2</v>
      </c>
      <c r="E150" s="177"/>
      <c r="F150" s="177"/>
      <c r="G150" s="177"/>
      <c r="H150" s="4"/>
      <c r="I150" s="4"/>
      <c r="M150" s="4"/>
      <c r="N150" s="4"/>
      <c r="O150" s="4"/>
      <c r="P150" s="4"/>
      <c r="Q150" s="4"/>
    </row>
    <row r="151" spans="4:17" s="1" customFormat="1" ht="12" customHeight="1">
      <c r="D151" s="175">
        <v>3</v>
      </c>
      <c r="E151" s="177"/>
      <c r="F151" s="177"/>
      <c r="G151" s="177"/>
      <c r="H151" s="4"/>
      <c r="I151" s="4"/>
      <c r="M151" s="4"/>
      <c r="N151" s="4"/>
      <c r="O151" s="4"/>
      <c r="P151" s="4"/>
      <c r="Q151" s="4"/>
    </row>
    <row r="152" spans="4:17" s="1" customFormat="1" ht="12" customHeight="1">
      <c r="D152" s="175">
        <v>4</v>
      </c>
      <c r="E152" s="177"/>
      <c r="F152" s="177"/>
      <c r="G152" s="177"/>
      <c r="H152" s="4"/>
      <c r="I152" s="4"/>
      <c r="M152" s="4"/>
      <c r="N152" s="4"/>
      <c r="O152" s="4"/>
      <c r="P152" s="4"/>
      <c r="Q152" s="4"/>
    </row>
    <row r="153" spans="4:17" s="1" customFormat="1" ht="15" customHeight="1">
      <c r="D153" s="179" t="s">
        <v>401</v>
      </c>
      <c r="E153" s="180">
        <f>SUM(E149:E152)</f>
        <v>0</v>
      </c>
      <c r="F153" s="181">
        <f>SUM(F149:F152)</f>
        <v>0</v>
      </c>
      <c r="G153" s="174"/>
      <c r="H153" s="4"/>
      <c r="I153" s="4"/>
      <c r="M153" s="4"/>
      <c r="N153" s="4"/>
      <c r="O153" s="4"/>
      <c r="P153" s="4"/>
      <c r="Q153" s="4"/>
    </row>
    <row r="154" spans="4:17" s="1" customFormat="1" ht="20.399999999999999" customHeight="1">
      <c r="D154" s="295" t="s">
        <v>19</v>
      </c>
      <c r="E154" s="296"/>
      <c r="F154" s="296"/>
      <c r="G154" s="297"/>
      <c r="H154" s="4"/>
      <c r="I154" s="4"/>
      <c r="M154" s="4"/>
      <c r="N154" s="4"/>
      <c r="O154" s="4"/>
      <c r="P154" s="4"/>
      <c r="Q154" s="4"/>
    </row>
    <row r="155" spans="4:17" s="1" customFormat="1" ht="12" customHeight="1">
      <c r="D155" s="175">
        <v>1</v>
      </c>
      <c r="E155" s="177"/>
      <c r="F155" s="177"/>
      <c r="G155" s="177"/>
      <c r="H155" s="4"/>
      <c r="I155" s="4"/>
      <c r="M155" s="4"/>
      <c r="N155" s="4"/>
      <c r="O155" s="4"/>
      <c r="P155" s="4"/>
      <c r="Q155" s="4"/>
    </row>
    <row r="156" spans="4:17" s="1" customFormat="1" ht="12" customHeight="1">
      <c r="D156" s="175">
        <v>2</v>
      </c>
      <c r="E156" s="177"/>
      <c r="F156" s="177"/>
      <c r="G156" s="177"/>
      <c r="H156" s="4"/>
      <c r="I156" s="4"/>
      <c r="M156" s="4"/>
      <c r="N156" s="4"/>
      <c r="O156" s="4"/>
      <c r="P156" s="4"/>
      <c r="Q156" s="4"/>
    </row>
    <row r="157" spans="4:17" s="1" customFormat="1" ht="12" customHeight="1">
      <c r="D157" s="175">
        <v>3</v>
      </c>
      <c r="E157" s="177"/>
      <c r="F157" s="177"/>
      <c r="G157" s="177"/>
      <c r="H157" s="4"/>
      <c r="I157" s="4"/>
      <c r="M157" s="4"/>
      <c r="N157" s="4"/>
      <c r="O157" s="4"/>
      <c r="P157" s="4"/>
      <c r="Q157" s="4"/>
    </row>
    <row r="158" spans="4:17" s="1" customFormat="1" ht="12" customHeight="1">
      <c r="D158" s="175">
        <v>4</v>
      </c>
      <c r="E158" s="177"/>
      <c r="F158" s="177"/>
      <c r="G158" s="177"/>
      <c r="H158" s="4"/>
      <c r="I158" s="4"/>
      <c r="M158" s="4"/>
      <c r="N158" s="4"/>
      <c r="O158" s="4"/>
      <c r="P158" s="4"/>
      <c r="Q158" s="4"/>
    </row>
    <row r="159" spans="4:17" s="1" customFormat="1" ht="15" customHeight="1">
      <c r="D159" s="179" t="s">
        <v>401</v>
      </c>
      <c r="E159" s="180">
        <f>SUM(E155:E158)</f>
        <v>0</v>
      </c>
      <c r="F159" s="181">
        <f>SUM(F155:F158)</f>
        <v>0</v>
      </c>
      <c r="G159" s="174"/>
      <c r="H159" s="4"/>
      <c r="I159" s="4"/>
      <c r="M159" s="4"/>
      <c r="N159" s="4"/>
      <c r="O159" s="4"/>
      <c r="P159" s="4"/>
      <c r="Q159" s="4"/>
    </row>
    <row r="160" spans="4:17" s="1" customFormat="1" ht="20.399999999999999" customHeight="1">
      <c r="D160" s="295" t="s">
        <v>20</v>
      </c>
      <c r="E160" s="296"/>
      <c r="F160" s="296"/>
      <c r="G160" s="297"/>
      <c r="H160" s="4"/>
      <c r="I160" s="4"/>
      <c r="M160" s="4"/>
      <c r="N160" s="4"/>
      <c r="O160" s="4"/>
      <c r="P160" s="4"/>
      <c r="Q160" s="4"/>
    </row>
    <row r="161" spans="4:17" s="1" customFormat="1" ht="12" customHeight="1">
      <c r="D161" s="175">
        <v>1</v>
      </c>
      <c r="E161" s="177"/>
      <c r="F161" s="177"/>
      <c r="G161" s="177"/>
      <c r="H161" s="4"/>
      <c r="I161" s="4"/>
      <c r="M161" s="4"/>
      <c r="N161" s="4"/>
      <c r="O161" s="4"/>
      <c r="P161" s="4"/>
      <c r="Q161" s="4"/>
    </row>
    <row r="162" spans="4:17" s="1" customFormat="1" ht="12" customHeight="1">
      <c r="D162" s="175">
        <v>2</v>
      </c>
      <c r="E162" s="177"/>
      <c r="F162" s="177"/>
      <c r="G162" s="177"/>
      <c r="H162" s="4"/>
      <c r="I162" s="4"/>
      <c r="M162" s="4"/>
      <c r="N162" s="4"/>
      <c r="O162" s="4"/>
      <c r="P162" s="4"/>
      <c r="Q162" s="4"/>
    </row>
    <row r="163" spans="4:17" s="1" customFormat="1" ht="12" customHeight="1">
      <c r="D163" s="175">
        <v>3</v>
      </c>
      <c r="E163" s="177"/>
      <c r="F163" s="177"/>
      <c r="G163" s="177"/>
      <c r="H163" s="4"/>
      <c r="I163" s="4"/>
      <c r="M163" s="4"/>
      <c r="N163" s="4"/>
      <c r="O163" s="4"/>
      <c r="P163" s="4"/>
      <c r="Q163" s="4"/>
    </row>
    <row r="164" spans="4:17" s="1" customFormat="1" ht="12" customHeight="1">
      <c r="D164" s="175">
        <v>4</v>
      </c>
      <c r="E164" s="177"/>
      <c r="F164" s="177"/>
      <c r="G164" s="177"/>
      <c r="H164" s="4"/>
      <c r="I164" s="4"/>
      <c r="M164" s="4"/>
      <c r="N164" s="4"/>
      <c r="O164" s="4"/>
      <c r="P164" s="4"/>
      <c r="Q164" s="4"/>
    </row>
    <row r="165" spans="4:17" s="1" customFormat="1" ht="15" customHeight="1">
      <c r="D165" s="179" t="s">
        <v>401</v>
      </c>
      <c r="E165" s="180">
        <f>SUM(E161:E164)</f>
        <v>0</v>
      </c>
      <c r="F165" s="181">
        <f>SUM(F161:F164)</f>
        <v>0</v>
      </c>
      <c r="G165" s="174"/>
      <c r="H165" s="4"/>
      <c r="I165" s="4"/>
      <c r="M165" s="4"/>
      <c r="N165" s="4"/>
      <c r="O165" s="4"/>
      <c r="P165" s="4"/>
      <c r="Q165" s="4"/>
    </row>
    <row r="166" spans="4:17">
      <c r="D166" s="160"/>
    </row>
  </sheetData>
  <mergeCells count="37">
    <mergeCell ref="D160:G160"/>
    <mergeCell ref="D105:F105"/>
    <mergeCell ref="D130:G130"/>
    <mergeCell ref="D136:G136"/>
    <mergeCell ref="D142:G142"/>
    <mergeCell ref="D148:G148"/>
    <mergeCell ref="D154:G154"/>
    <mergeCell ref="H124:H128"/>
    <mergeCell ref="E90:G90"/>
    <mergeCell ref="D94:G94"/>
    <mergeCell ref="D100:G100"/>
    <mergeCell ref="D106:G106"/>
    <mergeCell ref="D112:G112"/>
    <mergeCell ref="D118:G118"/>
    <mergeCell ref="D124:G124"/>
    <mergeCell ref="H112:H116"/>
    <mergeCell ref="H118:H122"/>
    <mergeCell ref="D117:F117"/>
    <mergeCell ref="D123:F123"/>
    <mergeCell ref="D93:F93"/>
    <mergeCell ref="D99:F99"/>
    <mergeCell ref="D111:F111"/>
    <mergeCell ref="H94:H98"/>
    <mergeCell ref="H100:H104"/>
    <mergeCell ref="H106:H110"/>
    <mergeCell ref="N1:O1"/>
    <mergeCell ref="N90:R90"/>
    <mergeCell ref="E91:G91"/>
    <mergeCell ref="M90:M92"/>
    <mergeCell ref="N91:N92"/>
    <mergeCell ref="O91:O92"/>
    <mergeCell ref="P91:P92"/>
    <mergeCell ref="Q91:Q92"/>
    <mergeCell ref="R91:R92"/>
    <mergeCell ref="A85:XFD85"/>
    <mergeCell ref="D88:G88"/>
    <mergeCell ref="D90:D92"/>
  </mergeCells>
  <conditionalFormatting sqref="K10:K14">
    <cfRule type="containsText" dxfId="142" priority="7" operator="containsText" text="ยาก">
      <formula>NOT(ISERROR(SEARCH("ยาก",K10)))</formula>
    </cfRule>
    <cfRule type="containsText" dxfId="141" priority="8" operator="containsText" text="กลาง">
      <formula>NOT(ISERROR(SEARCH("กลาง",K10)))</formula>
    </cfRule>
    <cfRule type="containsText" dxfId="140" priority="9" operator="containsText" text="ง่าย">
      <formula>NOT(ISERROR(SEARCH("ง่าย",K10)))</formula>
    </cfRule>
  </conditionalFormatting>
  <conditionalFormatting sqref="N33:N65">
    <cfRule type="containsText" dxfId="139" priority="4" operator="containsText" text="ยาก">
      <formula>NOT(ISERROR(SEARCH("ยาก",N33)))</formula>
    </cfRule>
    <cfRule type="containsText" dxfId="138" priority="5" operator="containsText" text="กลาง">
      <formula>NOT(ISERROR(SEARCH("กลาง",N33)))</formula>
    </cfRule>
    <cfRule type="containsText" dxfId="137" priority="6" operator="containsText" text="ง่าย">
      <formula>NOT(ISERROR(SEARCH("ง่าย",N33)))</formula>
    </cfRule>
  </conditionalFormatting>
  <conditionalFormatting sqref="B35:B36 B38:B39">
    <cfRule type="containsText" dxfId="136" priority="1" operator="containsText" text="ยาก">
      <formula>NOT(ISERROR(SEARCH("ยาก",B35)))</formula>
    </cfRule>
    <cfRule type="containsText" dxfId="135" priority="2" operator="containsText" text="กลาง">
      <formula>NOT(ISERROR(SEARCH("กลาง",B35)))</formula>
    </cfRule>
    <cfRule type="containsText" dxfId="134" priority="3" operator="containsText" text="ง่าย">
      <formula>NOT(ISERROR(SEARCH("ง่าย",B35)))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59999389629810485"/>
    <pageSetUpPr fitToPage="1"/>
  </sheetPr>
  <dimension ref="A1:AE265"/>
  <sheetViews>
    <sheetView showWhiteSpace="0" topLeftCell="A156" zoomScale="115" zoomScaleNormal="115" zoomScalePageLayoutView="70" workbookViewId="0">
      <selection activeCell="I318" sqref="I318"/>
    </sheetView>
  </sheetViews>
  <sheetFormatPr defaultColWidth="9" defaultRowHeight="14.4"/>
  <cols>
    <col min="1" max="1" width="20.6640625" customWidth="1"/>
    <col min="2" max="2" width="15" customWidth="1"/>
    <col min="3" max="3" width="8.6640625" style="63" bestFit="1" customWidth="1"/>
    <col min="4" max="4" width="9" customWidth="1"/>
    <col min="15" max="15" width="8.44140625" customWidth="1"/>
    <col min="16" max="16" width="10.5546875" customWidth="1"/>
    <col min="17" max="17" width="10.44140625" customWidth="1"/>
    <col min="18" max="18" width="13.33203125" customWidth="1"/>
    <col min="19" max="31" width="12.6640625" customWidth="1"/>
  </cols>
  <sheetData>
    <row r="1" spans="1:12" s="2" customFormat="1" ht="48" customHeight="1">
      <c r="A1" s="318" t="s">
        <v>40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</row>
    <row r="2" spans="1:12" ht="27.6" customHeight="1">
      <c r="A2" s="316" t="s">
        <v>41</v>
      </c>
      <c r="B2" s="316" t="s">
        <v>42</v>
      </c>
      <c r="C2" s="306" t="s">
        <v>43</v>
      </c>
      <c r="D2" s="319" t="s">
        <v>44</v>
      </c>
      <c r="E2" s="319"/>
      <c r="F2" s="319"/>
      <c r="G2" s="319"/>
      <c r="H2" s="319"/>
      <c r="I2" s="319"/>
      <c r="J2" s="319"/>
      <c r="K2" s="319"/>
      <c r="L2" s="319"/>
    </row>
    <row r="3" spans="1:12" ht="22.2" customHeight="1">
      <c r="A3" s="317"/>
      <c r="B3" s="317"/>
      <c r="C3" s="307"/>
      <c r="D3" s="43" t="s">
        <v>45</v>
      </c>
      <c r="E3" s="43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4" t="s">
        <v>51</v>
      </c>
      <c r="K3" s="44" t="s">
        <v>52</v>
      </c>
      <c r="L3" s="45" t="s">
        <v>53</v>
      </c>
    </row>
    <row r="4" spans="1:12" ht="25.05" customHeight="1">
      <c r="A4" s="139" t="s">
        <v>54</v>
      </c>
      <c r="B4" s="140">
        <f>COUNTIF(Table4[ฝ่าย],A4)</f>
        <v>43</v>
      </c>
      <c r="C4" s="141">
        <f>B4/B17</f>
        <v>0.86</v>
      </c>
      <c r="D4" s="142">
        <f>COUNTIFS(Table4[ประเภท],D3,Table4[ฝ่าย],A4)</f>
        <v>9</v>
      </c>
      <c r="E4" s="142">
        <f>COUNTIFS(Table4[ประเภท],E3,Table4[ฝ่าย],A4)</f>
        <v>2</v>
      </c>
      <c r="F4" s="142">
        <f>COUNTIFS(Table4[ประเภท],F3,Table4[ฝ่าย],A4)</f>
        <v>1</v>
      </c>
      <c r="G4" s="142">
        <f>COUNTIFS(Table4[ประเภท],G3,Table4[ฝ่าย],A4)</f>
        <v>2</v>
      </c>
      <c r="H4" s="142">
        <f>COUNTIFS(Table4[ประเภท],H3,Table4[ฝ่าย],A4)</f>
        <v>2</v>
      </c>
      <c r="I4" s="65">
        <f>COUNTIFS(Table4[ประเภท],I3,Table4[ฝ่าย],A4)</f>
        <v>0</v>
      </c>
      <c r="J4" s="142">
        <f>COUNTIFS(Table4[ประเภท],J3,Table4[ฝ่าย],A4)</f>
        <v>4</v>
      </c>
      <c r="K4" s="142">
        <f>COUNTIFS(Table4[ประเภท],K3,Table4[ฝ่าย],A4)</f>
        <v>21</v>
      </c>
      <c r="L4" s="142">
        <f>COUNTIFS(Table4[ประเภท],L3,Table4[ฝ่าย],A4)</f>
        <v>2</v>
      </c>
    </row>
    <row r="5" spans="1:12" ht="25.05" customHeight="1">
      <c r="A5" s="139" t="s">
        <v>55</v>
      </c>
      <c r="B5" s="140">
        <f>COUNTIF(Table4[ฝ่าย],A5)</f>
        <v>1</v>
      </c>
      <c r="C5" s="141">
        <f>B5/B17</f>
        <v>0.02</v>
      </c>
      <c r="D5" s="142">
        <f>COUNTIFS(Table4[ประเภท],D3,Table4[ฝ่าย],A5)</f>
        <v>1</v>
      </c>
      <c r="E5" s="65">
        <f>COUNTIFS(Table4[ประเภท],E3,Table4[ฝ่าย],A5)</f>
        <v>0</v>
      </c>
      <c r="F5" s="65">
        <f>COUNTIFS(Table4[ประเภท],F3,Table4[ฝ่าย],A5)</f>
        <v>0</v>
      </c>
      <c r="G5" s="65">
        <f>COUNTIFS(Table4[ประเภท],G3,Table4[ฝ่าย],A5)</f>
        <v>0</v>
      </c>
      <c r="H5" s="65">
        <f>COUNTIFS(Table4[ประเภท],H3,Table4[ฝ่าย],A5)</f>
        <v>0</v>
      </c>
      <c r="I5" s="65">
        <f>COUNTIFS(Table4[ประเภท],I3,Table4[ฝ่าย],A5)</f>
        <v>0</v>
      </c>
      <c r="J5" s="65">
        <f>COUNTIFS(Table4[ประเภท],J3,Table4[ฝ่าย],A5)</f>
        <v>0</v>
      </c>
      <c r="K5" s="65">
        <f>COUNTIFS(Table4[ประเภท],K3,Table4[ฝ่าย],A5)</f>
        <v>0</v>
      </c>
      <c r="L5" s="65">
        <f>COUNTIFS(Table4[ประเภท],L3,Table4[ฝ่าย],A5)</f>
        <v>0</v>
      </c>
    </row>
    <row r="6" spans="1:12" ht="25.05" customHeight="1">
      <c r="A6" s="139" t="s">
        <v>56</v>
      </c>
      <c r="B6" s="140">
        <f>COUNTIF(Table4[ฝ่าย],A6)</f>
        <v>4</v>
      </c>
      <c r="C6" s="141">
        <f>B6/B17</f>
        <v>0.08</v>
      </c>
      <c r="D6" s="65">
        <f>COUNTIFS(Table4[ประเภท],D3,Table4[ฝ่าย],A6)</f>
        <v>0</v>
      </c>
      <c r="E6" s="142">
        <f>COUNTIFS(Table4[ประเภท],E3,Table4[ฝ่าย],A6)</f>
        <v>2</v>
      </c>
      <c r="F6" s="65">
        <f>COUNTIFS(Table4[ประเภท],F3,Table4[ฝ่าย],A6)</f>
        <v>0</v>
      </c>
      <c r="G6" s="65">
        <f>COUNTIFS(Table4[ประเภท],G3,Table4[ฝ่าย],A6)</f>
        <v>0</v>
      </c>
      <c r="H6" s="65">
        <f>COUNTIFS(Table4[ประเภท],H3,Table4[ฝ่าย],A6)</f>
        <v>0</v>
      </c>
      <c r="I6" s="142">
        <f>COUNTIFS(Table4[ประเภท],I3,Table4[ฝ่าย],A6)</f>
        <v>1</v>
      </c>
      <c r="J6" s="65">
        <f>COUNTIFS(Table4[ประเภท],J3,Table4[ฝ่าย],A6)</f>
        <v>0</v>
      </c>
      <c r="K6" s="142">
        <f>COUNTIFS(Table4[ประเภท],K3,Table4[ฝ่าย],A6)</f>
        <v>1</v>
      </c>
      <c r="L6" s="65">
        <f>COUNTIFS(Table4[ประเภท],L3,Table4[ฝ่าย],A6)</f>
        <v>0</v>
      </c>
    </row>
    <row r="7" spans="1:12" ht="25.05" customHeight="1">
      <c r="A7" s="143" t="s">
        <v>57</v>
      </c>
      <c r="B7" s="48">
        <f>COUNTIF(Table4[ฝ่าย],A7)</f>
        <v>0</v>
      </c>
      <c r="C7" s="144">
        <f>B7/B17</f>
        <v>0</v>
      </c>
      <c r="D7" s="145">
        <f>COUNTIFS(Table4[ประเภท],D3,Table4[ฝ่าย],A7)</f>
        <v>0</v>
      </c>
      <c r="E7" s="65">
        <f>COUNTIFS(Table4[ประเภท],E3,Table4[ฝ่าย],A7)</f>
        <v>0</v>
      </c>
      <c r="F7" s="65">
        <f>COUNTIFS(Table4[ประเภท],F3,Table4[ฝ่าย],A7)</f>
        <v>0</v>
      </c>
      <c r="G7" s="65">
        <f>COUNTIFS(Table4[ประเภท],G3,Table4[ฝ่าย],A7)</f>
        <v>0</v>
      </c>
      <c r="H7" s="65">
        <f>COUNTIFS(Table4[ประเภท],H3,Table4[ฝ่าย],A7)</f>
        <v>0</v>
      </c>
      <c r="I7" s="65">
        <f>COUNTIFS(Table4[ประเภท],I3,Table4[ฝ่าย],A7)</f>
        <v>0</v>
      </c>
      <c r="J7" s="65">
        <f>COUNTIFS(Table4[ประเภท],J3,Table4[ฝ่าย],A7)</f>
        <v>0</v>
      </c>
      <c r="K7" s="65">
        <f>COUNTIFS(Table4[ประเภท],K3,Table4[ฝ่าย],A7)</f>
        <v>0</v>
      </c>
      <c r="L7" s="65">
        <f>COUNTIFS(Table4[ประเภท],L3,Table4[ฝ่าย],A7)</f>
        <v>0</v>
      </c>
    </row>
    <row r="8" spans="1:12" ht="25.05" customHeight="1">
      <c r="A8" s="143" t="s">
        <v>58</v>
      </c>
      <c r="B8" s="48">
        <f>COUNTIF(Table4[ฝ่าย],A8)</f>
        <v>0</v>
      </c>
      <c r="C8" s="50">
        <f>B8/B17</f>
        <v>0</v>
      </c>
      <c r="D8" s="145">
        <f>COUNTIFS(Table4[ประเภท],D3,Table4[ฝ่าย],A8)</f>
        <v>0</v>
      </c>
      <c r="E8" s="65">
        <f>COUNTIFS(Table4[ประเภท],E3,Table4[ฝ่าย],A8)</f>
        <v>0</v>
      </c>
      <c r="F8" s="65">
        <f>COUNTIFS(Table4[ประเภท],F3,Table4[ฝ่าย],A8)</f>
        <v>0</v>
      </c>
      <c r="G8" s="65">
        <f>COUNTIFS(Table4[ประเภท],G3,Table4[ฝ่าย],A8)</f>
        <v>0</v>
      </c>
      <c r="H8" s="65">
        <f>COUNTIFS(Table4[ประเภท],H3,Table4[ฝ่าย],A8)</f>
        <v>0</v>
      </c>
      <c r="I8" s="65">
        <f>COUNTIFS(Table4[ประเภท],I3,Table4[ฝ่าย],A8)</f>
        <v>0</v>
      </c>
      <c r="J8" s="65">
        <f>COUNTIFS(Table4[ประเภท],J3,Table4[ฝ่าย],A8)</f>
        <v>0</v>
      </c>
      <c r="K8" s="65">
        <f>COUNTIFS(Table4[ประเภท],K3,Table4[ฝ่าย],A8)</f>
        <v>0</v>
      </c>
      <c r="L8" s="65">
        <f>COUNTIFS(Table4[ประเภท],L3,Table4[ฝ่าย],A8)</f>
        <v>0</v>
      </c>
    </row>
    <row r="9" spans="1:12" ht="25.05" customHeight="1">
      <c r="A9" s="143" t="s">
        <v>59</v>
      </c>
      <c r="B9" s="48">
        <f>COUNTIF(Table4[ฝ่าย],A9)</f>
        <v>0</v>
      </c>
      <c r="C9" s="50">
        <f>B9/B17</f>
        <v>0</v>
      </c>
      <c r="D9" s="145">
        <f>COUNTIFS(Table4[ประเภท],D3,Table4[ฝ่าย],A9)</f>
        <v>0</v>
      </c>
      <c r="E9" s="65">
        <f>COUNTIFS(Table4[ประเภท],E3,Table4[ฝ่าย],A9)</f>
        <v>0</v>
      </c>
      <c r="F9" s="65">
        <f>COUNTIFS(Table4[ประเภท],F3,Table4[ฝ่าย],A9)</f>
        <v>0</v>
      </c>
      <c r="G9" s="65">
        <f>COUNTIFS(Table4[ประเภท],G3,Table4[ฝ่าย],A9)</f>
        <v>0</v>
      </c>
      <c r="H9" s="65">
        <f>COUNTIFS(Table4[ประเภท],H3,Table4[ฝ่าย],A9)</f>
        <v>0</v>
      </c>
      <c r="I9" s="65">
        <f>COUNTIFS(Table4[ประเภท],I3,Table4[ฝ่าย],A9)</f>
        <v>0</v>
      </c>
      <c r="J9" s="65">
        <f>COUNTIFS(Table4[ประเภท],J3,Table4[ฝ่าย],A9)</f>
        <v>0</v>
      </c>
      <c r="K9" s="65">
        <f>COUNTIFS(Table4[ประเภท],K3,Table4[ฝ่าย],A9)</f>
        <v>0</v>
      </c>
      <c r="L9" s="65">
        <f>COUNTIFS(Table4[ประเภท],L3,Table4[ฝ่าย],A9)</f>
        <v>0</v>
      </c>
    </row>
    <row r="10" spans="1:12" ht="25.05" customHeight="1">
      <c r="A10" s="143" t="s">
        <v>60</v>
      </c>
      <c r="B10" s="48">
        <f>COUNTIF(Table4[ฝ่าย],A10)</f>
        <v>0</v>
      </c>
      <c r="C10" s="50">
        <f>B10/B17</f>
        <v>0</v>
      </c>
      <c r="D10" s="145">
        <f>COUNTIFS(Table4[ประเภท],D3,Table4[ฝ่าย],A10)</f>
        <v>0</v>
      </c>
      <c r="E10" s="65">
        <f>COUNTIFS(Table4[ประเภท],E3,Table4[ฝ่าย],A10)</f>
        <v>0</v>
      </c>
      <c r="F10" s="65">
        <f>COUNTIFS(Table4[ประเภท],F3,Table4[ฝ่าย],A10)</f>
        <v>0</v>
      </c>
      <c r="G10" s="65">
        <f>COUNTIFS(Table4[ประเภท],G3,Table4[ฝ่าย],A10)</f>
        <v>0</v>
      </c>
      <c r="H10" s="65">
        <f>COUNTIFS(Table4[ประเภท],H3,Table4[ฝ่าย],A10)</f>
        <v>0</v>
      </c>
      <c r="I10" s="65">
        <f>COUNTIFS(Table4[ประเภท],I3,Table4[ฝ่าย],A10)</f>
        <v>0</v>
      </c>
      <c r="J10" s="65">
        <f>COUNTIFS(Table4[ประเภท],J3,Table4[ฝ่าย],A10)</f>
        <v>0</v>
      </c>
      <c r="K10" s="65">
        <f>COUNTIFS(Table4[ประเภท],K3,Table4[ฝ่าย],A10)</f>
        <v>0</v>
      </c>
      <c r="L10" s="65">
        <f>COUNTIFS(Table4[ประเภท],L3,Table4[ฝ่าย],A10)</f>
        <v>0</v>
      </c>
    </row>
    <row r="11" spans="1:12" ht="25.05" customHeight="1">
      <c r="A11" s="143" t="s">
        <v>61</v>
      </c>
      <c r="B11" s="48">
        <f>COUNTIF(Table4[ฝ่าย],A11)</f>
        <v>0</v>
      </c>
      <c r="C11" s="50">
        <f>B11/B17</f>
        <v>0</v>
      </c>
      <c r="D11" s="145">
        <f>COUNTIFS(Table4[ประเภท],D3,Table4[ฝ่าย],A11)</f>
        <v>0</v>
      </c>
      <c r="E11" s="65">
        <f>COUNTIFS(Table4[ประเภท],E3,Table4[ฝ่าย],A11)</f>
        <v>0</v>
      </c>
      <c r="F11" s="65">
        <f>COUNTIFS(Table4[ประเภท],F3,Table4[ฝ่าย],A11)</f>
        <v>0</v>
      </c>
      <c r="G11" s="65">
        <f>COUNTIFS(Table4[ประเภท],G3,Table4[ฝ่าย],A11)</f>
        <v>0</v>
      </c>
      <c r="H11" s="65">
        <f>COUNTIFS(Table4[ประเภท],H3,Table4[ฝ่าย],A11)</f>
        <v>0</v>
      </c>
      <c r="I11" s="65">
        <f>COUNTIFS(Table4[ประเภท],I3,Table4[ฝ่าย],A11)</f>
        <v>0</v>
      </c>
      <c r="J11" s="65">
        <f>COUNTIFS(Table4[ประเภท],J3,Table4[ฝ่าย],A11)</f>
        <v>0</v>
      </c>
      <c r="K11" s="65">
        <f>COUNTIFS(Table4[ประเภท],K3,Table4[ฝ่าย],A11)</f>
        <v>0</v>
      </c>
      <c r="L11" s="65">
        <f>COUNTIFS(Table4[ประเภท],L3,Table4[ฝ่าย],A11)</f>
        <v>0</v>
      </c>
    </row>
    <row r="12" spans="1:12" ht="25.05" customHeight="1">
      <c r="A12" s="143" t="s">
        <v>62</v>
      </c>
      <c r="B12" s="48">
        <f>COUNTIF(Table4[ฝ่าย],A12)</f>
        <v>0</v>
      </c>
      <c r="C12" s="50">
        <f>B12/B17</f>
        <v>0</v>
      </c>
      <c r="D12" s="145">
        <f>COUNTIFS(Table4[ประเภท],D3,Table4[ฝ่าย],A12)</f>
        <v>0</v>
      </c>
      <c r="E12" s="65">
        <f>COUNTIFS(Table4[ประเภท],E3,Table4[ฝ่าย],A12)</f>
        <v>0</v>
      </c>
      <c r="F12" s="65">
        <f>COUNTIFS(Table4[ประเภท],F3,Table4[ฝ่าย],A12)</f>
        <v>0</v>
      </c>
      <c r="G12" s="65">
        <f>COUNTIFS(Table4[ประเภท],G3,Table4[ฝ่าย],A12)</f>
        <v>0</v>
      </c>
      <c r="H12" s="65">
        <f>COUNTIFS(Table4[ประเภท],H3,Table4[ฝ่าย],A12)</f>
        <v>0</v>
      </c>
      <c r="I12" s="65">
        <f>COUNTIFS(Table4[ประเภท],I3,Table4[ฝ่าย],A12)</f>
        <v>0</v>
      </c>
      <c r="J12" s="65">
        <f>COUNTIFS(Table4[ประเภท],J3,Table4[ฝ่าย],A12)</f>
        <v>0</v>
      </c>
      <c r="K12" s="65">
        <f>COUNTIFS(Table4[ประเภท],K3,Table4[ฝ่าย],A12)</f>
        <v>0</v>
      </c>
      <c r="L12" s="65">
        <f>COUNTIFS(Table4[ประเภท],L3,Table4[ฝ่าย],A12)</f>
        <v>0</v>
      </c>
    </row>
    <row r="13" spans="1:12" ht="25.05" customHeight="1">
      <c r="A13" s="143" t="s">
        <v>63</v>
      </c>
      <c r="B13" s="48">
        <f>COUNTIF(Table4[ฝ่าย],A13)</f>
        <v>0</v>
      </c>
      <c r="C13" s="50">
        <f>B13/B17</f>
        <v>0</v>
      </c>
      <c r="D13" s="145">
        <f>COUNTIFS(Table4[ประเภท],D3,Table4[ฝ่าย],A13)</f>
        <v>0</v>
      </c>
      <c r="E13" s="65">
        <f>COUNTIFS(Table4[ประเภท],E3,Table4[ฝ่าย],A13)</f>
        <v>0</v>
      </c>
      <c r="F13" s="65">
        <f>COUNTIFS(Table4[ประเภท],F3,Table4[ฝ่าย],A13)</f>
        <v>0</v>
      </c>
      <c r="G13" s="65">
        <f>COUNTIFS(Table4[ประเภท],G3,Table4[ฝ่าย],A13)</f>
        <v>0</v>
      </c>
      <c r="H13" s="65">
        <f>COUNTIFS(Table4[ประเภท],H3,Table4[ฝ่าย],A13)</f>
        <v>0</v>
      </c>
      <c r="I13" s="65">
        <f>COUNTIFS(Table4[ประเภท],I3,Table4[ฝ่าย],A13)</f>
        <v>0</v>
      </c>
      <c r="J13" s="65">
        <f>COUNTIFS(Table4[ประเภท],J3,Table4[ฝ่าย],A13)</f>
        <v>0</v>
      </c>
      <c r="K13" s="65">
        <f>COUNTIFS(Table4[ประเภท],K3,Table4[ฝ่าย],A13)</f>
        <v>0</v>
      </c>
      <c r="L13" s="65">
        <f>COUNTIFS(Table4[ประเภท],L3,Table4[ฝ่าย],A13)</f>
        <v>0</v>
      </c>
    </row>
    <row r="14" spans="1:12" ht="25.05" customHeight="1">
      <c r="A14" s="143" t="s">
        <v>64</v>
      </c>
      <c r="B14" s="48">
        <f>COUNTIF(Table4[ฝ่าย],A14)</f>
        <v>0</v>
      </c>
      <c r="C14" s="50">
        <f>B14/B17</f>
        <v>0</v>
      </c>
      <c r="D14" s="145">
        <f>COUNTIFS(Table4[ประเภท],D3,Table4[ฝ่าย],A14)</f>
        <v>0</v>
      </c>
      <c r="E14" s="65">
        <f>COUNTIFS(Table4[ประเภท],E3,Table4[ฝ่าย],A14)</f>
        <v>0</v>
      </c>
      <c r="F14" s="65">
        <f>COUNTIFS(Table4[ประเภท],F3,Table4[ฝ่าย],A14)</f>
        <v>0</v>
      </c>
      <c r="G14" s="65">
        <f>COUNTIFS(Table4[ประเภท],G3,Table4[ฝ่าย],A14)</f>
        <v>0</v>
      </c>
      <c r="H14" s="65">
        <f>COUNTIFS(Table4[ประเภท],H3,Table4[ฝ่าย],A14)</f>
        <v>0</v>
      </c>
      <c r="I14" s="65">
        <f>COUNTIFS(Table4[ประเภท],I3,Table4[ฝ่าย],A14)</f>
        <v>0</v>
      </c>
      <c r="J14" s="65">
        <f>COUNTIFS(Table4[ประเภท],J3,Table4[ฝ่าย],A14)</f>
        <v>0</v>
      </c>
      <c r="K14" s="65">
        <f>COUNTIFS(Table4[ประเภท],K3,Table4[ฝ่าย],A14)</f>
        <v>0</v>
      </c>
      <c r="L14" s="65">
        <f>COUNTIFS(Table4[ประเภท],L3,Table4[ฝ่าย],A14)</f>
        <v>0</v>
      </c>
    </row>
    <row r="15" spans="1:12" ht="25.05" customHeight="1">
      <c r="A15" s="139" t="s">
        <v>65</v>
      </c>
      <c r="B15" s="140">
        <f>COUNTIF(Table4[ฝ่าย],A15)</f>
        <v>2</v>
      </c>
      <c r="C15" s="141">
        <f>B15/B17</f>
        <v>0.04</v>
      </c>
      <c r="D15" s="145">
        <f>COUNTIFS(Table4[ประเภท],D3,Table4[ฝ่าย],A15)</f>
        <v>0</v>
      </c>
      <c r="E15" s="65">
        <f>COUNTIFS(Table4[ประเภท],E3,Table4[ฝ่าย],A15)</f>
        <v>0</v>
      </c>
      <c r="F15" s="65">
        <f>COUNTIFS(Table4[ประเภท],F3,Table4[ฝ่าย],A15)</f>
        <v>0</v>
      </c>
      <c r="G15" s="142">
        <f>COUNTIFS(Table4[ประเภท],G3,Table4[ฝ่าย],A15)</f>
        <v>2</v>
      </c>
      <c r="H15" s="65">
        <f>COUNTIFS(Table4[ประเภท],H3,Table4[ฝ่าย],A15)</f>
        <v>0</v>
      </c>
      <c r="I15" s="65">
        <f>COUNTIFS(Table4[ประเภท],I3,Table4[ฝ่าย],A15)</f>
        <v>0</v>
      </c>
      <c r="J15" s="65">
        <f>COUNTIFS(Table4[ประเภท],J3,Table4[ฝ่าย],A15)</f>
        <v>0</v>
      </c>
      <c r="K15" s="65">
        <f>COUNTIFS(Table4[ประเภท],K3,Table4[ฝ่าย],A15)</f>
        <v>0</v>
      </c>
      <c r="L15" s="65">
        <f>COUNTIFS(Table4[ประเภท],L3,Table4[ฝ่าย],A15)</f>
        <v>0</v>
      </c>
    </row>
    <row r="16" spans="1:12" ht="25.05" customHeight="1">
      <c r="A16" s="143" t="s">
        <v>66</v>
      </c>
      <c r="B16" s="48">
        <f>COUNTIF(Table4[ฝ่าย],A16)</f>
        <v>0</v>
      </c>
      <c r="C16" s="50">
        <f>B16/B17</f>
        <v>0</v>
      </c>
      <c r="D16" s="145">
        <f>COUNTIFS(Table4[ประเภท],D3,Table4[ฝ่าย],A16)</f>
        <v>0</v>
      </c>
      <c r="E16" s="65">
        <f>COUNTIFS(Table4[ประเภท],E3,Table4[ฝ่าย],A16)</f>
        <v>0</v>
      </c>
      <c r="F16" s="65">
        <f>COUNTIFS(Table4[ประเภท],F3,Table4[ฝ่าย],A16)</f>
        <v>0</v>
      </c>
      <c r="G16" s="65">
        <f>COUNTIFS(Table4[ประเภท],G3,Table4[ฝ่าย],A16)</f>
        <v>0</v>
      </c>
      <c r="H16" s="65">
        <f>COUNTIFS(Table4[ประเภท],H3,Table4[ฝ่าย],A16)</f>
        <v>0</v>
      </c>
      <c r="I16" s="65">
        <f>COUNTIFS(Table4[ประเภท],I3,Table4[ฝ่าย],A16)</f>
        <v>0</v>
      </c>
      <c r="J16" s="65">
        <f>COUNTIFS(Table4[ประเภท],J3,Table4[ฝ่าย],A16)</f>
        <v>0</v>
      </c>
      <c r="K16" s="65">
        <f>COUNTIFS(Table4[ประเภท],K3,Table4[ฝ่าย],A16)</f>
        <v>0</v>
      </c>
      <c r="L16" s="65">
        <f>COUNTIFS(Table4[ประเภท],L3,Table4[ฝ่าย],A16)</f>
        <v>0</v>
      </c>
    </row>
    <row r="17" spans="1:13" ht="25.05" customHeight="1">
      <c r="A17" s="146" t="s">
        <v>67</v>
      </c>
      <c r="B17" s="52">
        <f t="shared" ref="B17:L17" si="0">SUM(B4:B16)</f>
        <v>50</v>
      </c>
      <c r="C17" s="53">
        <f t="shared" si="0"/>
        <v>1</v>
      </c>
      <c r="D17" s="52">
        <f t="shared" si="0"/>
        <v>10</v>
      </c>
      <c r="E17" s="52">
        <f t="shared" si="0"/>
        <v>4</v>
      </c>
      <c r="F17" s="52">
        <f t="shared" si="0"/>
        <v>1</v>
      </c>
      <c r="G17" s="52">
        <f t="shared" si="0"/>
        <v>4</v>
      </c>
      <c r="H17" s="52">
        <f t="shared" si="0"/>
        <v>2</v>
      </c>
      <c r="I17" s="52">
        <f t="shared" si="0"/>
        <v>1</v>
      </c>
      <c r="J17" s="52">
        <f t="shared" si="0"/>
        <v>4</v>
      </c>
      <c r="K17" s="147">
        <f t="shared" si="0"/>
        <v>22</v>
      </c>
      <c r="L17" s="52">
        <f t="shared" si="0"/>
        <v>2</v>
      </c>
    </row>
    <row r="18" spans="1:13" ht="25.05" customHeight="1">
      <c r="A18" s="148" t="s">
        <v>68</v>
      </c>
      <c r="B18" s="55">
        <f>COUNTIF(Table4[สถานะ],"เรียบร้อย")</f>
        <v>42</v>
      </c>
      <c r="C18" s="56"/>
      <c r="D18" s="2"/>
      <c r="E18" s="2"/>
      <c r="F18" s="2"/>
      <c r="G18" s="2"/>
      <c r="H18" s="2"/>
      <c r="I18" s="2"/>
      <c r="J18" s="2"/>
      <c r="K18" s="2"/>
      <c r="L18" s="2"/>
    </row>
    <row r="19" spans="1:13" ht="25.05" customHeight="1">
      <c r="A19" s="149" t="s">
        <v>69</v>
      </c>
      <c r="B19" s="58">
        <f>COUNTIF(Table4[สถานะ],"กำลังดำเนินการ")</f>
        <v>0</v>
      </c>
      <c r="C19" s="56"/>
      <c r="D19" s="2"/>
      <c r="E19" s="2"/>
      <c r="F19" s="2"/>
      <c r="G19" s="2"/>
      <c r="H19" s="2"/>
      <c r="I19" s="2"/>
      <c r="J19" s="2"/>
      <c r="K19" s="2"/>
      <c r="L19" s="2"/>
    </row>
    <row r="20" spans="1:13" ht="25.05" customHeight="1">
      <c r="A20" s="150" t="s">
        <v>3</v>
      </c>
      <c r="B20" s="60">
        <f>COUNTIF(Table4[สถานะ],"รอดำเนินการ")</f>
        <v>0</v>
      </c>
      <c r="C20" s="56"/>
      <c r="D20" s="2"/>
      <c r="E20" s="2"/>
      <c r="F20" s="2"/>
      <c r="G20" s="2"/>
      <c r="H20" s="2"/>
      <c r="I20" s="2"/>
      <c r="J20" s="2"/>
      <c r="K20" s="2"/>
      <c r="L20" s="2"/>
    </row>
    <row r="21" spans="1:13" ht="25.05" customHeight="1">
      <c r="A21" s="151" t="s">
        <v>70</v>
      </c>
      <c r="B21" s="62">
        <f>COUNTIF(Table4[สถานะ],"โอนย้าย")</f>
        <v>8</v>
      </c>
    </row>
    <row r="22" spans="1:13" s="207" customFormat="1" ht="43.8" customHeight="1">
      <c r="A22" s="209"/>
      <c r="B22" s="210"/>
      <c r="C22" s="208"/>
    </row>
    <row r="23" spans="1:13" s="138" customFormat="1" ht="48" customHeight="1">
      <c r="A23" s="312" t="s">
        <v>71</v>
      </c>
      <c r="B23" s="303"/>
      <c r="C23" s="303"/>
      <c r="D23" s="303"/>
      <c r="E23" s="303"/>
      <c r="F23" s="303"/>
      <c r="G23" s="303"/>
      <c r="H23" s="303"/>
      <c r="I23" s="303"/>
      <c r="J23" s="303"/>
      <c r="K23" s="303"/>
      <c r="L23" s="303"/>
      <c r="M23" s="303"/>
    </row>
    <row r="24" spans="1:13" ht="27.6" customHeight="1">
      <c r="A24" s="304" t="s">
        <v>41</v>
      </c>
      <c r="B24" s="304" t="s">
        <v>42</v>
      </c>
      <c r="C24" s="306" t="s">
        <v>43</v>
      </c>
      <c r="D24" s="308" t="s">
        <v>44</v>
      </c>
      <c r="E24" s="309"/>
      <c r="F24" s="309"/>
      <c r="G24" s="309"/>
      <c r="H24" s="309"/>
      <c r="I24" s="309"/>
      <c r="J24" s="309"/>
      <c r="K24" s="309"/>
      <c r="L24" s="309"/>
      <c r="M24" s="309"/>
    </row>
    <row r="25" spans="1:13" ht="22.2" customHeight="1">
      <c r="A25" s="305"/>
      <c r="B25" s="305"/>
      <c r="C25" s="307"/>
      <c r="D25" s="43" t="s">
        <v>45</v>
      </c>
      <c r="E25" s="43" t="s">
        <v>46</v>
      </c>
      <c r="F25" s="44" t="s">
        <v>47</v>
      </c>
      <c r="G25" s="44" t="s">
        <v>48</v>
      </c>
      <c r="H25" s="44" t="s">
        <v>49</v>
      </c>
      <c r="I25" s="44" t="s">
        <v>50</v>
      </c>
      <c r="J25" s="44" t="s">
        <v>51</v>
      </c>
      <c r="K25" s="44" t="s">
        <v>52</v>
      </c>
      <c r="L25" s="45" t="s">
        <v>53</v>
      </c>
      <c r="M25" s="46" t="s">
        <v>72</v>
      </c>
    </row>
    <row r="26" spans="1:13" ht="25.05" customHeight="1">
      <c r="A26" s="152" t="s">
        <v>54</v>
      </c>
      <c r="B26" s="140">
        <f>COUNTIF(Table2[ฝ่าย],A26)</f>
        <v>44</v>
      </c>
      <c r="C26" s="141">
        <f>B26/B39</f>
        <v>0.91666666666666663</v>
      </c>
      <c r="D26" s="142">
        <f>COUNTIFS(Table2[ประเภท],D25,Table2[ฝ่าย],A26)</f>
        <v>4</v>
      </c>
      <c r="E26" s="142">
        <f>COUNTIFS(Table2[ประเภท],E25,Table2[ฝ่าย],A26)</f>
        <v>11</v>
      </c>
      <c r="F26" s="142">
        <f>COUNTIFS(Table2[ประเภท],F25,Table2[ฝ่าย],A26)</f>
        <v>3</v>
      </c>
      <c r="G26" s="65">
        <f>COUNTIFS(Table2[ประเภท],G25,Table2[ฝ่าย],A26)</f>
        <v>0</v>
      </c>
      <c r="H26" s="65">
        <f>COUNTIFS(Table2[ประเภท],H25,Table2[ฝ่าย],A26)</f>
        <v>0</v>
      </c>
      <c r="I26" s="65">
        <f>COUNTIFS(Table2[ประเภท],I25,Table2[ฝ่าย],A26)</f>
        <v>0</v>
      </c>
      <c r="J26" s="142">
        <f>COUNTIFS(Table2[ประเภท],J25,Table2[ฝ่าย],A26)</f>
        <v>5</v>
      </c>
      <c r="K26" s="142">
        <f>COUNTIFS(Table2[ประเภท],K25,Table2[ฝ่าย],A26)</f>
        <v>7</v>
      </c>
      <c r="L26" s="65">
        <f>COUNTIFS(Table2[ประเภท],L25,Table2[ฝ่าย],A26)</f>
        <v>7</v>
      </c>
      <c r="M26" s="153">
        <f>COUNTIFS(Table2[ประเภท],M25,Table2[ฝ่าย],A26)</f>
        <v>7</v>
      </c>
    </row>
    <row r="27" spans="1:13" ht="25.05" customHeight="1">
      <c r="A27" s="47" t="s">
        <v>55</v>
      </c>
      <c r="B27" s="48">
        <f>COUNTIF(Table2[ฝ่าย],A27)</f>
        <v>0</v>
      </c>
      <c r="C27" s="50">
        <f>B27/B39</f>
        <v>0</v>
      </c>
      <c r="D27" s="145">
        <f>COUNTIFS(Table2[ประเภท],D25,Table2[ฝ่าย],A27)</f>
        <v>0</v>
      </c>
      <c r="E27" s="65">
        <f>COUNTIFS(Table2[ประเภท],E25,Table2[ฝ่าย],A27)</f>
        <v>0</v>
      </c>
      <c r="F27" s="65">
        <f>COUNTIFS(Table2[ประเภท],F25,Table2[ฝ่าย],A27)</f>
        <v>0</v>
      </c>
      <c r="G27" s="65">
        <f>COUNTIFS(Table2[ประเภท],G25,Table2[ฝ่าย],A27)</f>
        <v>0</v>
      </c>
      <c r="H27" s="65">
        <f>COUNTIFS(Table2[ประเภท],H25,Table2[ฝ่าย],A27)</f>
        <v>0</v>
      </c>
      <c r="I27" s="65">
        <f>COUNTIFS(Table2[ประเภท],I25,Table2[ฝ่าย],A27)</f>
        <v>0</v>
      </c>
      <c r="J27" s="65">
        <f>COUNTIFS(Table2[ประเภท],J25,Table2[ฝ่าย],A27)</f>
        <v>0</v>
      </c>
      <c r="K27" s="65">
        <f>COUNTIFS(Table2[ประเภท],K25,Table2[ฝ่าย],A27)</f>
        <v>0</v>
      </c>
      <c r="L27" s="65">
        <f>COUNTIFS(Table2[ประเภท],L25,Table2[ฝ่าย],A27)</f>
        <v>0</v>
      </c>
      <c r="M27" s="154">
        <f>COUNTIFS(Table2[ประเภท],M26,Table2[ฝ่าย],A27)</f>
        <v>0</v>
      </c>
    </row>
    <row r="28" spans="1:13" ht="25.05" customHeight="1">
      <c r="A28" s="47" t="s">
        <v>56</v>
      </c>
      <c r="B28" s="48">
        <f>COUNTIF(Table2[ฝ่าย],A28)</f>
        <v>4</v>
      </c>
      <c r="C28" s="50">
        <f>B28/B39</f>
        <v>8.3333333333333329E-2</v>
      </c>
      <c r="D28" s="145">
        <f>COUNTIFS(Table2[ประเภท],D25,Table2[ฝ่าย],A28)</f>
        <v>0</v>
      </c>
      <c r="E28" s="142">
        <f>COUNTIFS(Table2[ประเภท],E25,Table2[ฝ่าย],A28)</f>
        <v>1</v>
      </c>
      <c r="F28" s="65">
        <f>COUNTIFS(Table2[ประเภท],F25,Table2[ฝ่าย],A28)</f>
        <v>0</v>
      </c>
      <c r="G28" s="65">
        <f>COUNTIFS(Table2[ประเภท],G25,Table2[ฝ่าย],A28)</f>
        <v>0</v>
      </c>
      <c r="H28" s="65">
        <f>COUNTIFS(Table2[ประเภท],H25,Table2[ฝ่าย],A28)</f>
        <v>0</v>
      </c>
      <c r="I28" s="65">
        <f>COUNTIFS(Table2[ประเภท],I25,Table2[ฝ่าย],A28)</f>
        <v>0</v>
      </c>
      <c r="J28" s="65">
        <f>COUNTIFS(Table2[ประเภท],J25,Table2[ฝ่าย],A28)</f>
        <v>1</v>
      </c>
      <c r="K28" s="65">
        <f>COUNTIFS(Table2[ประเภท],K25,Table2[ฝ่าย],A28)</f>
        <v>0</v>
      </c>
      <c r="L28" s="65">
        <f>COUNTIFS(Table2[ประเภท],L25,Table2[ฝ่าย],A28)</f>
        <v>2</v>
      </c>
      <c r="M28" s="154">
        <f>COUNTIFS(Table2[ประเภท],M27,Table2[ฝ่าย],A28)</f>
        <v>0</v>
      </c>
    </row>
    <row r="29" spans="1:13" ht="25.05" customHeight="1">
      <c r="A29" s="47" t="s">
        <v>57</v>
      </c>
      <c r="B29" s="48">
        <f>COUNTIF(Table4[ฝ่าย],A29)</f>
        <v>0</v>
      </c>
      <c r="C29" s="144">
        <f>B29/B39</f>
        <v>0</v>
      </c>
      <c r="D29" s="145">
        <f>COUNTIFS(Table2[ประเภท],D25,Table2[ฝ่าย],A29)</f>
        <v>0</v>
      </c>
      <c r="E29" s="65">
        <f>COUNTIFS(Table2[ประเภท],E25,Table2[ฝ่าย],A29)</f>
        <v>0</v>
      </c>
      <c r="F29" s="65">
        <f>COUNTIFS(Table2[ประเภท],F25,Table2[ฝ่าย],A29)</f>
        <v>0</v>
      </c>
      <c r="G29" s="65">
        <f>COUNTIFS(Table2[ประเภท],G25,Table2[ฝ่าย],A29)</f>
        <v>0</v>
      </c>
      <c r="H29" s="65">
        <f>COUNTIFS(Table2[ประเภท],H25,Table2[ฝ่าย],A29)</f>
        <v>0</v>
      </c>
      <c r="I29" s="65">
        <f>COUNTIFS(Table2[ประเภท],I25,Table2[ฝ่าย],A29)</f>
        <v>0</v>
      </c>
      <c r="J29" s="65">
        <f>COUNTIFS(Table2[ประเภท],J25,Table2[ฝ่าย],A29)</f>
        <v>0</v>
      </c>
      <c r="K29" s="65">
        <f>COUNTIFS(Table2[ประเภท],K25,Table2[ฝ่าย],A29)</f>
        <v>0</v>
      </c>
      <c r="L29" s="65">
        <f>COUNTIFS(Table2[ประเภท],L25,Table2[ฝ่าย],A29)</f>
        <v>0</v>
      </c>
      <c r="M29" s="154">
        <f>COUNTIFS(Table2[ประเภท],M28,Table2[ฝ่าย],A29)</f>
        <v>0</v>
      </c>
    </row>
    <row r="30" spans="1:13" ht="25.05" customHeight="1">
      <c r="A30" s="47" t="s">
        <v>58</v>
      </c>
      <c r="B30" s="48">
        <f>COUNTIF(Table2[ฝ่าย],A30)</f>
        <v>0</v>
      </c>
      <c r="C30" s="50">
        <f>B30/B39</f>
        <v>0</v>
      </c>
      <c r="D30" s="145">
        <f>COUNTIFS(Table2[ประเภท],D25,Table2[ฝ่าย],A30)</f>
        <v>0</v>
      </c>
      <c r="E30" s="65">
        <f>COUNTIFS(Table2[ประเภท],E25,Table2[ฝ่าย],A30)</f>
        <v>0</v>
      </c>
      <c r="F30" s="65">
        <f>COUNTIFS(Table2[ประเภท],F25,Table2[ฝ่าย],A30)</f>
        <v>0</v>
      </c>
      <c r="G30" s="65">
        <f>COUNTIFS(Table2[ประเภท],G25,Table2[ฝ่าย],A30)</f>
        <v>0</v>
      </c>
      <c r="H30" s="65">
        <f>COUNTIFS(Table2[ประเภท],H25,Table2[ฝ่าย],A30)</f>
        <v>0</v>
      </c>
      <c r="I30" s="65">
        <f>COUNTIFS(Table2[ประเภท],I25,Table2[ฝ่าย],A30)</f>
        <v>0</v>
      </c>
      <c r="J30" s="65">
        <f>COUNTIFS(Table2[ประเภท],J25,Table2[ฝ่าย],A30)</f>
        <v>0</v>
      </c>
      <c r="K30" s="65">
        <f>COUNTIFS(Table2[ประเภท],K25,Table2[ฝ่าย],A30)</f>
        <v>0</v>
      </c>
      <c r="L30" s="65">
        <f>COUNTIFS(Table2[ประเภท],L25,Table2[ฝ่าย],A30)</f>
        <v>0</v>
      </c>
      <c r="M30" s="154">
        <f>COUNTIFS(Table2[ประเภท],M29,Table2[ฝ่าย],A30)</f>
        <v>0</v>
      </c>
    </row>
    <row r="31" spans="1:13" ht="25.05" customHeight="1">
      <c r="A31" s="47" t="s">
        <v>59</v>
      </c>
      <c r="B31" s="48">
        <f>COUNTIF(Table2[ฝ่าย],A31)</f>
        <v>0</v>
      </c>
      <c r="C31" s="50">
        <f>B31/B39</f>
        <v>0</v>
      </c>
      <c r="D31" s="145">
        <f>COUNTIFS(Table2[ประเภท],D25,Table2[ฝ่าย],A31)</f>
        <v>0</v>
      </c>
      <c r="E31" s="65">
        <f>COUNTIFS(Table2[ประเภท],E25,Table2[ฝ่าย],A31)</f>
        <v>0</v>
      </c>
      <c r="F31" s="65">
        <f>COUNTIFS(Table2[ประเภท],F25,Table2[ฝ่าย],A31)</f>
        <v>0</v>
      </c>
      <c r="G31" s="65">
        <f>COUNTIFS(Table2[ประเภท],G25,Table2[ฝ่าย],A31)</f>
        <v>0</v>
      </c>
      <c r="H31" s="65">
        <f>COUNTIFS(Table2[ประเภท],H25,Table2[ฝ่าย],A31)</f>
        <v>0</v>
      </c>
      <c r="I31" s="65">
        <f>COUNTIFS(Table2[ประเภท],I25,Table2[ฝ่าย],A31)</f>
        <v>0</v>
      </c>
      <c r="J31" s="65">
        <f>COUNTIFS(Table2[ประเภท],J25,Table2[ฝ่าย],A31)</f>
        <v>0</v>
      </c>
      <c r="K31" s="65">
        <f>COUNTIFS(Table2[ประเภท],K25,Table2[ฝ่าย],A31)</f>
        <v>0</v>
      </c>
      <c r="L31" s="65">
        <f>COUNTIFS(Table2[ประเภท],L25,Table2[ฝ่าย],A31)</f>
        <v>0</v>
      </c>
      <c r="M31" s="154">
        <f>COUNTIFS(Table2[ประเภท],M30,Table2[ฝ่าย],A31)</f>
        <v>0</v>
      </c>
    </row>
    <row r="32" spans="1:13" ht="25.05" customHeight="1">
      <c r="A32" s="47" t="s">
        <v>60</v>
      </c>
      <c r="B32" s="48">
        <f>COUNTIF(Table2[ฝ่าย],A32)</f>
        <v>0</v>
      </c>
      <c r="C32" s="50">
        <f>B32/B39</f>
        <v>0</v>
      </c>
      <c r="D32" s="145">
        <f>COUNTIFS(Table2[ประเภท],D25,Table2[ฝ่าย],A32)</f>
        <v>0</v>
      </c>
      <c r="E32" s="65">
        <f>COUNTIFS(Table2[ประเภท],E25,Table2[ฝ่าย],A32)</f>
        <v>0</v>
      </c>
      <c r="F32" s="65">
        <f>COUNTIFS(Table2[ประเภท],F25,Table2[ฝ่าย],A32)</f>
        <v>0</v>
      </c>
      <c r="G32" s="65">
        <f>COUNTIFS(Table2[ประเภท],G25,Table2[ฝ่าย],A32)</f>
        <v>0</v>
      </c>
      <c r="H32" s="65">
        <f>COUNTIFS(Table2[ประเภท],H25,Table2[ฝ่าย],A32)</f>
        <v>0</v>
      </c>
      <c r="I32" s="65">
        <f>COUNTIFS(Table2[ประเภท],I25,Table2[ฝ่าย],A32)</f>
        <v>0</v>
      </c>
      <c r="J32" s="65">
        <f>COUNTIFS(Table2[ประเภท],J25,Table2[ฝ่าย],A32)</f>
        <v>0</v>
      </c>
      <c r="K32" s="65">
        <f>COUNTIFS(Table2[ประเภท],K25,Table2[ฝ่าย],A32)</f>
        <v>0</v>
      </c>
      <c r="L32" s="65">
        <f>COUNTIFS(Table2[ประเภท],L25,Table2[ฝ่าย],A32)</f>
        <v>0</v>
      </c>
      <c r="M32" s="154">
        <f>COUNTIFS(Table2[ประเภท],M31,Table2[ฝ่าย],A32)</f>
        <v>0</v>
      </c>
    </row>
    <row r="33" spans="1:31" ht="25.05" customHeight="1">
      <c r="A33" s="47" t="s">
        <v>61</v>
      </c>
      <c r="B33" s="48">
        <f>COUNTIF(Table2[ฝ่าย],A33)</f>
        <v>0</v>
      </c>
      <c r="C33" s="50">
        <f>B33/B39</f>
        <v>0</v>
      </c>
      <c r="D33" s="65">
        <f>COUNTIFS(Table2[ประเภท],D25,Table2[ฝ่าย],A33)</f>
        <v>0</v>
      </c>
      <c r="E33" s="65">
        <f>COUNTIFS(Table2[ประเภท],E25,Table2[ฝ่าย],A33)</f>
        <v>0</v>
      </c>
      <c r="F33" s="65">
        <f>COUNTIFS(Table2[ประเภท],F25,Table2[ฝ่าย],A33)</f>
        <v>0</v>
      </c>
      <c r="G33" s="65">
        <f>COUNTIFS(Table2[ประเภท],G25,Table2[ฝ่าย],A33)</f>
        <v>0</v>
      </c>
      <c r="H33" s="65">
        <f>COUNTIFS(Table2[ประเภท],H25,Table2[ฝ่าย],A33)</f>
        <v>0</v>
      </c>
      <c r="I33" s="65">
        <f>COUNTIFS(Table2[ประเภท],I25,Table2[ฝ่าย],A33)</f>
        <v>0</v>
      </c>
      <c r="J33" s="65">
        <f>COUNTIFS(Table2[ประเภท],J25,Table2[ฝ่าย],A33)</f>
        <v>0</v>
      </c>
      <c r="K33" s="65">
        <f>COUNTIFS(Table2[ประเภท],K25,Table2[ฝ่าย],A33)</f>
        <v>0</v>
      </c>
      <c r="L33" s="65">
        <f>COUNTIFS(Table2[ประเภท],L25,Table2[ฝ่าย],A33)</f>
        <v>0</v>
      </c>
      <c r="M33" s="154">
        <f>COUNTIFS(Table2[ประเภท],M32,Table2[ฝ่าย],A33)</f>
        <v>0</v>
      </c>
    </row>
    <row r="34" spans="1:31" ht="25.05" customHeight="1">
      <c r="A34" s="47" t="s">
        <v>62</v>
      </c>
      <c r="B34" s="48">
        <f>COUNTIF(Table2[ฝ่าย],A34)</f>
        <v>0</v>
      </c>
      <c r="C34" s="50">
        <f>B34/B39</f>
        <v>0</v>
      </c>
      <c r="D34" s="65">
        <f>COUNTIFS(Table2[ประเภท],D25,Table2[ฝ่าย],A34)</f>
        <v>0</v>
      </c>
      <c r="E34" s="65">
        <f>COUNTIFS(Table2[ประเภท],E25,Table2[ฝ่าย],A34)</f>
        <v>0</v>
      </c>
      <c r="F34" s="65">
        <f>COUNTIFS(Table2[ประเภท],F25,Table2[ฝ่าย],A34)</f>
        <v>0</v>
      </c>
      <c r="G34" s="65">
        <f>COUNTIFS(Table2[ประเภท],G25,Table2[ฝ่าย],A34)</f>
        <v>0</v>
      </c>
      <c r="H34" s="65">
        <f>COUNTIFS(Table2[ประเภท],H25,Table2[ฝ่าย],A34)</f>
        <v>0</v>
      </c>
      <c r="I34" s="65">
        <f>COUNTIFS(Table2[ประเภท],I25,Table2[ฝ่าย],A34)</f>
        <v>0</v>
      </c>
      <c r="J34" s="65">
        <f>COUNTIFS(Table2[ประเภท],J25,Table2[ฝ่าย],A34)</f>
        <v>0</v>
      </c>
      <c r="K34" s="65">
        <f>COUNTIFS(Table2[ประเภท],K25,Table2[ฝ่าย],A34)</f>
        <v>0</v>
      </c>
      <c r="L34" s="65">
        <f>COUNTIFS(Table2[ประเภท],L25,Table2[ฝ่าย],A34)</f>
        <v>0</v>
      </c>
      <c r="M34" s="154">
        <f>COUNTIFS(Table2[ประเภท],M33,Table2[ฝ่าย],A34)</f>
        <v>0</v>
      </c>
    </row>
    <row r="35" spans="1:31" ht="25.05" customHeight="1">
      <c r="A35" s="47" t="s">
        <v>63</v>
      </c>
      <c r="B35" s="48">
        <f>COUNTIF(Table2[ฝ่าย],A35)</f>
        <v>0</v>
      </c>
      <c r="C35" s="50">
        <f>B35/B39</f>
        <v>0</v>
      </c>
      <c r="D35" s="65">
        <f>COUNTIFS(Table2[ประเภท],D25,Table2[ฝ่าย],A35)</f>
        <v>0</v>
      </c>
      <c r="E35" s="65">
        <f>COUNTIFS(Table2[ประเภท],E25,Table2[ฝ่าย],A35)</f>
        <v>0</v>
      </c>
      <c r="F35" s="65">
        <f>COUNTIFS(Table2[ประเภท],F25,Table2[ฝ่าย],A35)</f>
        <v>0</v>
      </c>
      <c r="G35" s="65">
        <f>COUNTIFS(Table2[ประเภท],G25,Table2[ฝ่าย],A35)</f>
        <v>0</v>
      </c>
      <c r="H35" s="65">
        <f>COUNTIFS(Table2[ประเภท],H25,Table2[ฝ่าย],A35)</f>
        <v>0</v>
      </c>
      <c r="I35" s="65">
        <f>COUNTIFS(Table2[ประเภท],I25,Table2[ฝ่าย],A35)</f>
        <v>0</v>
      </c>
      <c r="J35" s="65">
        <f>COUNTIFS(Table2[ประเภท],J25,Table2[ฝ่าย],A35)</f>
        <v>0</v>
      </c>
      <c r="K35" s="65">
        <f>COUNTIFS(Table2[ประเภท],K25,Table2[ฝ่าย],A35)</f>
        <v>0</v>
      </c>
      <c r="L35" s="65">
        <f>COUNTIFS(Table2[ประเภท],L25,Table2[ฝ่าย],A35)</f>
        <v>0</v>
      </c>
      <c r="M35" s="154">
        <f>COUNTIFS(Table2[ประเภท],M34,Table2[ฝ่าย],A35)</f>
        <v>0</v>
      </c>
    </row>
    <row r="36" spans="1:31" ht="25.05" customHeight="1">
      <c r="A36" s="47" t="s">
        <v>64</v>
      </c>
      <c r="B36" s="48">
        <f>COUNTIF(Table2[ฝ่าย],A36)</f>
        <v>0</v>
      </c>
      <c r="C36" s="50">
        <f>B36/B39</f>
        <v>0</v>
      </c>
      <c r="D36" s="65">
        <f>COUNTIFS(Table2[ประเภท],D25,Table2[ฝ่าย],A36)</f>
        <v>0</v>
      </c>
      <c r="E36" s="65">
        <f>COUNTIFS(Table2[ประเภท],E25,Table2[ฝ่าย],A36)</f>
        <v>0</v>
      </c>
      <c r="F36" s="65">
        <f>COUNTIFS(Table2[ประเภท],F25,Table2[ฝ่าย],A36)</f>
        <v>0</v>
      </c>
      <c r="G36" s="65">
        <f>COUNTIFS(Table2[ประเภท],G25,Table2[ฝ่าย],A36)</f>
        <v>0</v>
      </c>
      <c r="H36" s="65">
        <f>COUNTIFS(Table2[ประเภท],H25,Table2[ฝ่าย],A36)</f>
        <v>0</v>
      </c>
      <c r="I36" s="65">
        <f>COUNTIFS(Table2[ประเภท],I25,Table2[ฝ่าย],A36)</f>
        <v>0</v>
      </c>
      <c r="J36" s="65">
        <f>COUNTIFS(Table2[ประเภท],J25,Table2[ฝ่าย],A36)</f>
        <v>0</v>
      </c>
      <c r="K36" s="65">
        <f>COUNTIFS(Table2[ประเภท],K25,Table2[ฝ่าย],A36)</f>
        <v>0</v>
      </c>
      <c r="L36" s="65">
        <f>COUNTIFS(Table2[ประเภท],L25,Table2[ฝ่าย],A36)</f>
        <v>0</v>
      </c>
      <c r="M36" s="154">
        <f>COUNTIFS(Table2[ประเภท],M35,Table2[ฝ่าย],A36)</f>
        <v>0</v>
      </c>
    </row>
    <row r="37" spans="1:31" ht="25.05" customHeight="1">
      <c r="A37" s="47" t="s">
        <v>65</v>
      </c>
      <c r="B37" s="48">
        <f>COUNTIF(Table2[ฝ่าย],A37)</f>
        <v>0</v>
      </c>
      <c r="C37" s="50">
        <f>B37/B39</f>
        <v>0</v>
      </c>
      <c r="D37" s="65">
        <f>COUNTIFS(Table2[ประเภท],D25,Table2[ฝ่าย],A37)</f>
        <v>0</v>
      </c>
      <c r="E37" s="65">
        <f>COUNTIFS(Table2[ประเภท],E25,Table2[ฝ่าย],A37)</f>
        <v>0</v>
      </c>
      <c r="F37" s="65">
        <f>COUNTIFS(Table2[ประเภท],F25,Table2[ฝ่าย],A37)</f>
        <v>0</v>
      </c>
      <c r="G37" s="65">
        <f>COUNTIFS(Table2[ประเภท],G25,Table2[ฝ่าย],A37)</f>
        <v>0</v>
      </c>
      <c r="H37" s="65">
        <f>COUNTIFS(Table2[ประเภท],H25,Table2[ฝ่าย],A37)</f>
        <v>0</v>
      </c>
      <c r="I37" s="65">
        <f>COUNTIFS(Table2[ประเภท],I25,Table2[ฝ่าย],A37)</f>
        <v>0</v>
      </c>
      <c r="J37" s="65">
        <f>COUNTIFS(Table2[ประเภท],J25,Table2[ฝ่าย],A37)</f>
        <v>0</v>
      </c>
      <c r="K37" s="65">
        <f>COUNTIFS(Table2[ประเภท],K25,Table2[ฝ่าย],A37)</f>
        <v>0</v>
      </c>
      <c r="L37" s="65">
        <f>COUNTIFS(Table2[ประเภท],L25,Table2[ฝ่าย],A37)</f>
        <v>0</v>
      </c>
      <c r="M37" s="154">
        <f>COUNTIFS(Table2[ประเภท],M36,Table2[ฝ่าย],A37)</f>
        <v>0</v>
      </c>
    </row>
    <row r="38" spans="1:31" ht="25.05" customHeight="1">
      <c r="A38" s="47" t="s">
        <v>66</v>
      </c>
      <c r="B38" s="48">
        <f>COUNTIF(Table2[ฝ่าย],A38)</f>
        <v>0</v>
      </c>
      <c r="C38" s="50">
        <f>B38/B39</f>
        <v>0</v>
      </c>
      <c r="D38" s="65">
        <f>COUNTIFS(Table2[ประเภท],D25,Table2[ฝ่าย],A38)</f>
        <v>0</v>
      </c>
      <c r="E38" s="65">
        <f>COUNTIFS(Table2[ประเภท],E25,Table2[ฝ่าย],A38)</f>
        <v>0</v>
      </c>
      <c r="F38" s="65">
        <f>COUNTIFS(Table2[ประเภท],F25,Table2[ฝ่าย],A38)</f>
        <v>0</v>
      </c>
      <c r="G38" s="65">
        <f>COUNTIFS(Table2[ประเภท],G25,Table2[ฝ่าย],A38)</f>
        <v>0</v>
      </c>
      <c r="H38" s="65">
        <f>COUNTIFS(Table2[ประเภท],H25,Table2[ฝ่าย],A38)</f>
        <v>0</v>
      </c>
      <c r="I38" s="65">
        <f>COUNTIFS(Table2[ประเภท],I25,Table2[ฝ่าย],A38)</f>
        <v>0</v>
      </c>
      <c r="J38" s="65">
        <f>COUNTIFS(Table2[ประเภท],J25,Table2[ฝ่าย],A38)</f>
        <v>0</v>
      </c>
      <c r="K38" s="65">
        <f>COUNTIFS(Table2[ประเภท],K25,Table2[ฝ่าย],A38)</f>
        <v>0</v>
      </c>
      <c r="L38" s="65">
        <f>COUNTIFS(Table2[ประเภท],L25,Table2[ฝ่าย],A38)</f>
        <v>0</v>
      </c>
      <c r="M38" s="154">
        <f>COUNTIFS(Table2[ประเภท],M37,Table2[ฝ่าย],A38)</f>
        <v>0</v>
      </c>
    </row>
    <row r="39" spans="1:31" ht="25.05" customHeight="1">
      <c r="A39" s="51" t="s">
        <v>67</v>
      </c>
      <c r="B39" s="52">
        <f t="shared" ref="B39:M39" si="1">SUM(B26:B38)</f>
        <v>48</v>
      </c>
      <c r="C39" s="53">
        <f t="shared" si="1"/>
        <v>1</v>
      </c>
      <c r="D39" s="52">
        <f t="shared" si="1"/>
        <v>4</v>
      </c>
      <c r="E39" s="52">
        <f t="shared" si="1"/>
        <v>12</v>
      </c>
      <c r="F39" s="52">
        <f t="shared" si="1"/>
        <v>3</v>
      </c>
      <c r="G39" s="52">
        <f t="shared" si="1"/>
        <v>0</v>
      </c>
      <c r="H39" s="52">
        <f t="shared" si="1"/>
        <v>0</v>
      </c>
      <c r="I39" s="52">
        <f t="shared" si="1"/>
        <v>0</v>
      </c>
      <c r="J39" s="52">
        <f t="shared" si="1"/>
        <v>6</v>
      </c>
      <c r="K39" s="52">
        <f t="shared" si="1"/>
        <v>7</v>
      </c>
      <c r="L39" s="52">
        <f t="shared" si="1"/>
        <v>9</v>
      </c>
      <c r="M39" s="155">
        <f t="shared" si="1"/>
        <v>7</v>
      </c>
      <c r="O39" s="192">
        <f>SUM(D39:M39)</f>
        <v>48</v>
      </c>
    </row>
    <row r="40" spans="1:31" ht="25.05" customHeight="1">
      <c r="A40" s="54" t="s">
        <v>68</v>
      </c>
      <c r="B40" s="55">
        <f>COUNTIF(Table2[สถานะ],"เรียบร้อย")</f>
        <v>38</v>
      </c>
      <c r="C40" s="56"/>
      <c r="D40" s="2"/>
      <c r="E40" s="2"/>
      <c r="F40" s="2"/>
      <c r="G40" s="2"/>
      <c r="H40" s="2"/>
      <c r="I40" s="2"/>
      <c r="J40" s="2"/>
      <c r="K40" s="2"/>
      <c r="L40" s="2"/>
    </row>
    <row r="41" spans="1:31" ht="25.05" customHeight="1">
      <c r="A41" s="57" t="s">
        <v>69</v>
      </c>
      <c r="B41" s="58">
        <f>COUNTIF(Table2[สถานะ],"กำลังดำเนินการ")</f>
        <v>0</v>
      </c>
      <c r="C41" s="56"/>
      <c r="D41" s="2"/>
      <c r="E41" s="2"/>
      <c r="F41" s="2"/>
      <c r="G41" s="2"/>
      <c r="H41" s="2"/>
      <c r="I41" s="2"/>
      <c r="J41" s="2"/>
      <c r="K41" s="2"/>
      <c r="L41" s="2"/>
    </row>
    <row r="42" spans="1:31" ht="25.05" customHeight="1">
      <c r="A42" s="59" t="s">
        <v>3</v>
      </c>
      <c r="B42" s="60">
        <f>COUNTIF(Table2[สถานะ],"รอดำเนินการ")</f>
        <v>0</v>
      </c>
      <c r="C42" s="56"/>
      <c r="D42" s="2"/>
      <c r="E42" s="2"/>
      <c r="F42" s="2"/>
      <c r="G42" s="2"/>
      <c r="H42" s="2"/>
      <c r="I42" s="2"/>
      <c r="J42" s="2"/>
      <c r="K42" s="2"/>
      <c r="L42" s="2"/>
    </row>
    <row r="43" spans="1:31" ht="25.05" customHeight="1" thickBot="1">
      <c r="A43" s="61" t="s">
        <v>70</v>
      </c>
      <c r="B43" s="62">
        <f>COUNTIF(Table2[สถานะ],"โอนย้าย")</f>
        <v>10</v>
      </c>
    </row>
    <row r="44" spans="1:31" s="207" customFormat="1" ht="46.2" customHeight="1">
      <c r="C44" s="208"/>
    </row>
    <row r="45" spans="1:31" ht="48" customHeight="1" thickBot="1">
      <c r="A45" s="312" t="s">
        <v>73</v>
      </c>
      <c r="B45" s="303"/>
      <c r="C45" s="303"/>
      <c r="D45" s="303"/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R45" s="315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7"/>
    </row>
    <row r="46" spans="1:31" ht="27.6" customHeight="1" thickBot="1">
      <c r="A46" s="304" t="s">
        <v>41</v>
      </c>
      <c r="B46" s="304" t="s">
        <v>42</v>
      </c>
      <c r="C46" s="306" t="s">
        <v>43</v>
      </c>
      <c r="D46" s="308" t="s">
        <v>44</v>
      </c>
      <c r="E46" s="309"/>
      <c r="F46" s="309"/>
      <c r="G46" s="309"/>
      <c r="H46" s="309"/>
      <c r="I46" s="309"/>
      <c r="J46" s="309"/>
      <c r="K46" s="309"/>
      <c r="L46" s="309"/>
      <c r="M46" s="309"/>
      <c r="N46" s="309"/>
      <c r="O46" s="309"/>
      <c r="P46" s="310"/>
      <c r="Q46" s="310"/>
      <c r="R46" s="313"/>
    </row>
    <row r="47" spans="1:31" ht="27.6" customHeight="1" thickBot="1">
      <c r="A47" s="305"/>
      <c r="B47" s="305"/>
      <c r="C47" s="307"/>
      <c r="D47" s="43" t="s">
        <v>45</v>
      </c>
      <c r="E47" s="43" t="s">
        <v>46</v>
      </c>
      <c r="F47" s="44" t="s">
        <v>47</v>
      </c>
      <c r="G47" s="44" t="s">
        <v>48</v>
      </c>
      <c r="H47" s="44" t="s">
        <v>49</v>
      </c>
      <c r="I47" s="44" t="s">
        <v>50</v>
      </c>
      <c r="J47" s="44" t="s">
        <v>51</v>
      </c>
      <c r="K47" s="44" t="s">
        <v>52</v>
      </c>
      <c r="L47" s="45" t="s">
        <v>53</v>
      </c>
      <c r="M47" s="46" t="s">
        <v>72</v>
      </c>
      <c r="N47" s="168" t="s">
        <v>376</v>
      </c>
      <c r="O47" s="187" t="s">
        <v>357</v>
      </c>
      <c r="P47" s="287"/>
      <c r="Q47" s="287"/>
      <c r="R47" s="314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65"/>
      <c r="AE47" s="156"/>
    </row>
    <row r="48" spans="1:31" ht="25.05" customHeight="1" thickBot="1">
      <c r="A48" s="152" t="s">
        <v>54</v>
      </c>
      <c r="B48" s="140">
        <f>COUNTIF(Table16[ฝ่าย],A48)</f>
        <v>78</v>
      </c>
      <c r="C48" s="141">
        <f>B48/B62</f>
        <v>0.80412371134020622</v>
      </c>
      <c r="D48" s="167">
        <f>IF(COUNTIFS(Table16[ประเภท],D47,Table16[ฝ่าย],A48)=0,"-",COUNTIFS(Table16[ประเภท],D47,Table16[ฝ่าย],A48))</f>
        <v>12</v>
      </c>
      <c r="E48" s="167">
        <f>IF(COUNTIFS(Table16[ประเภท],E47,Table16[ฝ่าย],A48)=0,"-",COUNTIFS(Table16[ประเภท],E47,Table16[ฝ่าย],A48))</f>
        <v>7</v>
      </c>
      <c r="F48" s="65">
        <f>IF(COUNTIFS(Table16[ประเภท],F47,Table16[ฝ่าย],A48)=0,"-",COUNTIFS(Table16[ประเภท],F47,Table16[ฝ่าย],A48))</f>
        <v>7</v>
      </c>
      <c r="G48" s="65">
        <f>IF(COUNTIFS(Table16[ประเภท],G47,Table16[ฝ่าย],A48)=0,"-",COUNTIFS(Table16[ประเภท],G47,Table16[ฝ่าย],A48))</f>
        <v>2</v>
      </c>
      <c r="H48" s="167">
        <f>IF(COUNTIFS(Table16[ประเภท],H47,Table16[ฝ่าย],A48)=0,"-",COUNTIFS(Table16[ประเภท],H47,Table16[ฝ่าย],A48))</f>
        <v>5</v>
      </c>
      <c r="I48" s="167">
        <f>IF(COUNTIFS(Table16[ประเภท],I47,Table16[ฝ่าย],A48)=0,"-",COUNTIFS(Table16[ประเภท],I47,Table16[ฝ่าย],A48))</f>
        <v>1</v>
      </c>
      <c r="J48" s="167">
        <f>IF(COUNTIFS(Table16[ประเภท],J47,Table16[ฝ่าย],A48)=0,"-",COUNTIFS(Table16[ประเภท],J47,Table16[ฝ่าย],A48))</f>
        <v>8</v>
      </c>
      <c r="K48" s="167">
        <f>IF(COUNTIFS(Table16[ประเภท],K47,Table16[ฝ่าย],A48)=0,"-",COUNTIFS(Table16[ประเภท],K47,Table16[ฝ่าย],A48))</f>
        <v>18</v>
      </c>
      <c r="L48" s="167">
        <f>IF(COUNTIFS(Table16[ประเภท],L47,Table16[ฝ่าย],A48)=0,"-",COUNTIFS(Table16[ประเภท],L47,Table16[ฝ่าย],A48))</f>
        <v>4</v>
      </c>
      <c r="M48" s="154">
        <f>IF(COUNTIFS(Table16[ประเภท],M47,Table16[ฝ่าย],A48)=0,"-",COUNTIFS(Table16[ประเภท],M47,Table16[ฝ่าย],A48))</f>
        <v>3</v>
      </c>
      <c r="N48" s="169">
        <f>IF(COUNTIFS(Table16[ประเภท],N47,Table16[ฝ่าย],A48)=0,"-",COUNTIFS(Table16[ประเภท],N47,Table16[ฝ่าย],A48))</f>
        <v>2</v>
      </c>
      <c r="O48" s="188">
        <f>IF(COUNTIFS(Table16[ประเภท],O47,Table16[ฝ่าย],A48)=0,"-",COUNTIFS(Table16[ประเภท],O47,Table16[ฝ่าย],A48))</f>
        <v>4</v>
      </c>
      <c r="P48" s="311"/>
      <c r="Q48" s="166"/>
      <c r="R48" s="2"/>
    </row>
    <row r="49" spans="1:31" ht="25.05" customHeight="1" thickBot="1">
      <c r="A49" s="47" t="s">
        <v>55</v>
      </c>
      <c r="B49" s="48">
        <f>COUNTIF(Table16[ฝ่าย],A49)</f>
        <v>2</v>
      </c>
      <c r="C49" s="50">
        <f>B49/B62</f>
        <v>2.0618556701030927E-2</v>
      </c>
      <c r="D49" s="167" t="str">
        <f>IF(COUNTIFS(Table16[ประเภท],D47,Table16[ฝ่าย],A49)=0,"-",COUNTIFS(Table16[ประเภท],D47,Table16[ฝ่าย],A49))</f>
        <v>-</v>
      </c>
      <c r="E49" s="167">
        <f>IF(COUNTIFS(Table16[ประเภท],E47,Table16[ฝ่าย],A49)=0,"-",COUNTIFS(Table16[ประเภท],E47,Table16[ฝ่าย],A49))</f>
        <v>1</v>
      </c>
      <c r="F49" s="167" t="str">
        <f>IF(COUNTIFS(Table16[ประเภท],F47,Table16[ฝ่าย],A49)=0,"-",COUNTIFS(Table16[ประเภท],F47,Table16[ฝ่าย],A49))</f>
        <v>-</v>
      </c>
      <c r="G49" s="167" t="str">
        <f>IF(COUNTIFS(Table16[ประเภท],G47,Table16[ฝ่าย],A49)=0,"-",COUNTIFS(Table16[ประเภท],G47,Table16[ฝ่าย],A49))</f>
        <v>-</v>
      </c>
      <c r="H49" s="167" t="str">
        <f>IF(COUNTIFS(Table16[ประเภท],H47,Table16[ฝ่าย],A49)=0,"-",COUNTIFS(Table16[ประเภท],H47,Table16[ฝ่าย],A49))</f>
        <v>-</v>
      </c>
      <c r="I49" s="167">
        <f>IF(COUNTIFS(Table16[ประเภท],I47,Table16[ฝ่าย],A49)=0,"-",COUNTIFS(Table16[ประเภท],I47,Table16[ฝ่าย],A49))</f>
        <v>1</v>
      </c>
      <c r="J49" s="167" t="str">
        <f>IF(COUNTIFS(Table16[ประเภท],J47,Table16[ฝ่าย],A49)=0,"-",COUNTIFS(Table16[ประเภท],J47,Table16[ฝ่าย],A49))</f>
        <v>-</v>
      </c>
      <c r="K49" s="167" t="str">
        <f>IF(COUNTIFS(Table16[ประเภท],K47,Table16[ฝ่าย],A49)=0,"-",COUNTIFS(Table16[ประเภท],K47,Table16[ฝ่าย],A49))</f>
        <v>-</v>
      </c>
      <c r="L49" s="167" t="str">
        <f>IF(COUNTIFS(Table16[ประเภท],L47,Table16[ฝ่าย],A49)=0,"-",COUNTIFS(Table16[ประเภท],L47,Table16[ฝ่าย],A49))</f>
        <v>-</v>
      </c>
      <c r="M49" s="154" t="str">
        <f>IF(COUNTIFS(Table16[ประเภท],M47,Table16[ฝ่าย],A49)=0,"-",COUNTIFS(Table16[ประเภท],M47,Table16[ฝ่าย],A49))</f>
        <v>-</v>
      </c>
      <c r="O49" s="188" t="str">
        <f>IF(COUNTIFS(Table16[ประเภท],O47,Table16[ฝ่าย],A49)=0,"-",COUNTIFS(Table16[ประเภท],O47,Table16[ฝ่าย],A49))</f>
        <v>-</v>
      </c>
      <c r="P49" s="311"/>
      <c r="Q49" s="166"/>
      <c r="R49" s="2"/>
    </row>
    <row r="50" spans="1:31" ht="25.05" customHeight="1" thickBot="1">
      <c r="A50" s="47" t="s">
        <v>56</v>
      </c>
      <c r="B50" s="48">
        <f>COUNTIF(Table16[ฝ่าย],A50)</f>
        <v>3</v>
      </c>
      <c r="C50" s="50">
        <f>B50/B62</f>
        <v>3.0927835051546393E-2</v>
      </c>
      <c r="D50" s="167" t="str">
        <f>IF(COUNTIFS(Table16[ประเภท],D47,Table16[ฝ่าย],A50)=0,"-",COUNTIFS(Table16[ประเภท],D47,Table16[ฝ่าย],A50))</f>
        <v>-</v>
      </c>
      <c r="E50" s="167">
        <f>IF(COUNTIFS(Table16[ประเภท],E47,Table16[ฝ่าย],A50)=0,"-",COUNTIFS(Table16[ประเภท],E47,Table16[ฝ่าย],A50))</f>
        <v>1</v>
      </c>
      <c r="F50" s="167" t="str">
        <f>IF(COUNTIFS(Table16[ประเภท],F47,Table16[ฝ่าย],A50)=0,"-",COUNTIFS(Table16[ประเภท],F47,Table16[ฝ่าย],A50))</f>
        <v>-</v>
      </c>
      <c r="G50" s="167" t="str">
        <f>IF(COUNTIFS(Table16[ประเภท],G47,Table16[ฝ่าย],A50)=0,"-",COUNTIFS(Table16[ประเภท],G47,Table16[ฝ่าย],A50))</f>
        <v>-</v>
      </c>
      <c r="H50" s="167" t="str">
        <f>IF(COUNTIFS(Table16[ประเภท],H47,Table16[ฝ่าย],A50)=0,"-",COUNTIFS(Table16[ประเภท],H47,Table16[ฝ่าย],A50))</f>
        <v>-</v>
      </c>
      <c r="I50" s="167" t="str">
        <f>IF(COUNTIFS(Table16[ประเภท],I47,Table16[ฝ่าย],A50)=0,"-",COUNTIFS(Table16[ประเภท],I47,Table16[ฝ่าย],A50))</f>
        <v>-</v>
      </c>
      <c r="J50" s="167" t="str">
        <f>IF(COUNTIFS(Table16[ประเภท],J47,Table16[ฝ่าย],A50)=0,"-",COUNTIFS(Table16[ประเภท],J47,Table16[ฝ่าย],A50))</f>
        <v>-</v>
      </c>
      <c r="K50" s="167">
        <f>IF(COUNTIFS(Table16[ประเภท],K47,Table16[ฝ่าย],A50)=0,"-",COUNTIFS(Table16[ประเภท],K47,Table16[ฝ่าย],A50))</f>
        <v>1</v>
      </c>
      <c r="L50" s="167">
        <f>IF(COUNTIFS(Table16[ประเภท],L47,Table16[ฝ่าย],A50)=0,"-",COUNTIFS(Table16[ประเภท],L47,Table16[ฝ่าย],A50))</f>
        <v>1</v>
      </c>
      <c r="M50" s="154" t="str">
        <f>IF(COUNTIFS(Table16[ประเภท],M47,Table16[ฝ่าย],A50)=0,"-",COUNTIFS(Table16[ประเภท],M47,Table16[ฝ่าย],A50))</f>
        <v>-</v>
      </c>
      <c r="O50" s="188" t="str">
        <f>IF(COUNTIFS(Table16[ประเภท],O47,Table16[ฝ่าย],A50)=0,"-",COUNTIFS(Table16[ประเภท],O47,Table16[ฝ่าย],A50))</f>
        <v>-</v>
      </c>
      <c r="P50" s="311"/>
      <c r="Q50" s="166"/>
      <c r="R50" s="2"/>
    </row>
    <row r="51" spans="1:31" ht="25.05" customHeight="1" thickBot="1">
      <c r="A51" s="47" t="s">
        <v>57</v>
      </c>
      <c r="B51" s="48">
        <f>COUNTIF(Table16[ฝ่าย],A51)</f>
        <v>0</v>
      </c>
      <c r="C51" s="144">
        <f>B51/B62</f>
        <v>0</v>
      </c>
      <c r="D51" s="167" t="str">
        <f>IF(COUNTIFS(Table16[ประเภท],D47,Table16[ฝ่าย],A51)=0,"-",COUNTIFS(Table16[ประเภท],D47,Table16[ฝ่าย],A51))</f>
        <v>-</v>
      </c>
      <c r="E51" s="167" t="str">
        <f>IF(COUNTIFS(Table16[ประเภท],E47,Table16[ฝ่าย],A51)=0,"-",COUNTIFS(Table16[ประเภท],E47,Table16[ฝ่าย],A51))</f>
        <v>-</v>
      </c>
      <c r="F51" s="167" t="str">
        <f>IF(COUNTIFS(Table16[ประเภท],F47,Table16[ฝ่าย],A51)=0,"-",COUNTIFS(Table16[ประเภท],F47,Table16[ฝ่าย],A51))</f>
        <v>-</v>
      </c>
      <c r="G51" s="167" t="str">
        <f>IF(COUNTIFS(Table16[ประเภท],G47,Table16[ฝ่าย],A51)=0,"-",COUNTIFS(Table16[ประเภท],G47,Table16[ฝ่าย],A51))</f>
        <v>-</v>
      </c>
      <c r="H51" s="167" t="str">
        <f>IF(COUNTIFS(Table16[ประเภท],H47,Table16[ฝ่าย],A51)=0,"-",COUNTIFS(Table16[ประเภท],H47,Table16[ฝ่าย],A51))</f>
        <v>-</v>
      </c>
      <c r="I51" s="167" t="str">
        <f>IF(COUNTIFS(Table16[ประเภท],I47,Table16[ฝ่าย],A51)=0,"-",COUNTIFS(Table16[ประเภท],I47,Table16[ฝ่าย],A51))</f>
        <v>-</v>
      </c>
      <c r="J51" s="167" t="str">
        <f>IF(COUNTIFS(Table16[ประเภท],J47,Table16[ฝ่าย],A51)=0,"-",COUNTIFS(Table16[ประเภท],J47,Table16[ฝ่าย],A51))</f>
        <v>-</v>
      </c>
      <c r="K51" s="167" t="str">
        <f>IF(COUNTIFS(Table16[ประเภท],K47,Table16[ฝ่าย],A51)=0,"-",COUNTIFS(Table16[ประเภท],K47,Table16[ฝ่าย],A51))</f>
        <v>-</v>
      </c>
      <c r="L51" s="167" t="str">
        <f>IF(COUNTIFS(Table16[ประเภท],L47,Table16[ฝ่าย],A51)=0,"-",COUNTIFS(Table16[ประเภท],L47,Table16[ฝ่าย],A51))</f>
        <v>-</v>
      </c>
      <c r="M51" s="154" t="str">
        <f>IF(COUNTIFS(Table16[ประเภท],M47,Table16[ฝ่าย],A51)=0,"-",COUNTIFS(Table16[ประเภท],M47,Table16[ฝ่าย],A51))</f>
        <v>-</v>
      </c>
      <c r="O51" s="188" t="str">
        <f>IF(COUNTIFS(Table16[ประเภท],O47,Table16[ฝ่าย],A51)=0,"-",COUNTIFS(Table16[ประเภท],O47,Table16[ฝ่าย],A51))</f>
        <v>-</v>
      </c>
      <c r="P51" s="311"/>
      <c r="Q51" s="166"/>
      <c r="R51" s="2"/>
    </row>
    <row r="52" spans="1:31" ht="25.05" customHeight="1" thickBot="1">
      <c r="A52" s="47" t="s">
        <v>58</v>
      </c>
      <c r="B52" s="48">
        <f>COUNTIF(Table16[ฝ่าย],A52)</f>
        <v>0</v>
      </c>
      <c r="C52" s="50">
        <f>B52/B62</f>
        <v>0</v>
      </c>
      <c r="D52" s="167" t="str">
        <f>IF(COUNTIFS(Table16[ประเภท],D47,Table16[ฝ่าย],A52)=0,"-",COUNTIFS(Table16[ประเภท],D47,Table16[ฝ่าย],A52))</f>
        <v>-</v>
      </c>
      <c r="E52" s="167" t="str">
        <f>IF(COUNTIFS(Table16[ประเภท],E47,Table16[ฝ่าย],A52)=0,"-",COUNTIFS(Table16[ประเภท],E47,Table16[ฝ่าย],A52))</f>
        <v>-</v>
      </c>
      <c r="F52" s="167" t="str">
        <f>IF(COUNTIFS(Table16[ประเภท],F47,Table16[ฝ่าย],A52)=0,"-",COUNTIFS(Table16[ประเภท],F47,Table16[ฝ่าย],A52))</f>
        <v>-</v>
      </c>
      <c r="G52" s="167" t="str">
        <f>IF(COUNTIFS(Table16[ประเภท],G47,Table16[ฝ่าย],A52)=0,"-",COUNTIFS(Table16[ประเภท],G47,Table16[ฝ่าย],A52))</f>
        <v>-</v>
      </c>
      <c r="H52" s="167" t="str">
        <f>IF(COUNTIFS(Table16[ประเภท],H47,Table16[ฝ่าย],A52)=0,"-",COUNTIFS(Table16[ประเภท],H47,Table16[ฝ่าย],A52))</f>
        <v>-</v>
      </c>
      <c r="I52" s="167" t="str">
        <f>IF(COUNTIFS(Table16[ประเภท],I47,Table16[ฝ่าย],A52)=0,"-",COUNTIFS(Table16[ประเภท],I47,Table16[ฝ่าย],A52))</f>
        <v>-</v>
      </c>
      <c r="J52" s="167" t="str">
        <f>IF(COUNTIFS(Table16[ประเภท],J47,Table16[ฝ่าย],A52)=0,"-",COUNTIFS(Table16[ประเภท],J47,Table16[ฝ่าย],A52))</f>
        <v>-</v>
      </c>
      <c r="K52" s="167" t="str">
        <f>IF(COUNTIFS(Table16[ประเภท],K47,Table16[ฝ่าย],A52)=0,"-",COUNTIFS(Table16[ประเภท],K47,Table16[ฝ่าย],A52))</f>
        <v>-</v>
      </c>
      <c r="L52" s="167" t="str">
        <f>IF(COUNTIFS(Table16[ประเภท],L47,Table16[ฝ่าย],A52)=0,"-",COUNTIFS(Table16[ประเภท],L47,Table16[ฝ่าย],A52))</f>
        <v>-</v>
      </c>
      <c r="M52" s="154" t="str">
        <f>IF(COUNTIFS(Table16[ประเภท],M47,Table16[ฝ่าย],A52)=0,"-",COUNTIFS(Table16[ประเภท],M47,Table16[ฝ่าย],A52))</f>
        <v>-</v>
      </c>
      <c r="O52" s="188" t="str">
        <f>IF(COUNTIFS(Table16[ประเภท],O47,Table16[ฝ่าย],A52)=0,"-",COUNTIFS(Table16[ประเภท],O47,Table16[ฝ่าย],A52))</f>
        <v>-</v>
      </c>
      <c r="P52" s="311"/>
      <c r="Q52" s="166"/>
      <c r="R52" s="2"/>
    </row>
    <row r="53" spans="1:31" ht="25.05" customHeight="1" thickBot="1">
      <c r="A53" s="47" t="s">
        <v>59</v>
      </c>
      <c r="B53" s="48">
        <f>COUNTIF(Table16[ฝ่าย],A53)</f>
        <v>1</v>
      </c>
      <c r="C53" s="50">
        <f>B53/B62</f>
        <v>1.0309278350515464E-2</v>
      </c>
      <c r="D53" s="167" t="str">
        <f>IF(COUNTIFS(Table16[ประเภท],D47,Table16[ฝ่าย],A53)=0,"-",COUNTIFS(Table16[ประเภท],D47,Table16[ฝ่าย],A53))</f>
        <v>-</v>
      </c>
      <c r="E53" s="167" t="str">
        <f>IF(COUNTIFS(Table16[ประเภท],E47,Table16[ฝ่าย],A53)=0,"-",COUNTIFS(Table16[ประเภท],E47,Table16[ฝ่าย],A53))</f>
        <v>-</v>
      </c>
      <c r="F53" s="167" t="str">
        <f>IF(COUNTIFS(Table16[ประเภท],F47,Table16[ฝ่าย],A53)=0,"-",COUNTIFS(Table16[ประเภท],F47,Table16[ฝ่าย],A53))</f>
        <v>-</v>
      </c>
      <c r="G53" s="167" t="str">
        <f>IF(COUNTIFS(Table16[ประเภท],G47,Table16[ฝ่าย],A53)=0,"-",COUNTIFS(Table16[ประเภท],G47,Table16[ฝ่าย],A53))</f>
        <v>-</v>
      </c>
      <c r="H53" s="167" t="str">
        <f>IF(COUNTIFS(Table16[ประเภท],H47,Table16[ฝ่าย],A53)=0,"-",COUNTIFS(Table16[ประเภท],H47,Table16[ฝ่าย],A53))</f>
        <v>-</v>
      </c>
      <c r="I53" s="167" t="str">
        <f>IF(COUNTIFS(Table16[ประเภท],I47,Table16[ฝ่าย],A53)=0,"-",COUNTIFS(Table16[ประเภท],I47,Table16[ฝ่าย],A53))</f>
        <v>-</v>
      </c>
      <c r="J53" s="167">
        <f>IF(COUNTIFS(Table16[ประเภท],J47,Table16[ฝ่าย],A53)=0,"-",COUNTIFS(Table16[ประเภท],J47,Table16[ฝ่าย],A53))</f>
        <v>1</v>
      </c>
      <c r="K53" s="167" t="str">
        <f>IF(COUNTIFS(Table16[ประเภท],K47,Table16[ฝ่าย],A53)=0,"-",COUNTIFS(Table16[ประเภท],K47,Table16[ฝ่าย],A53))</f>
        <v>-</v>
      </c>
      <c r="L53" s="167" t="str">
        <f>IF(COUNTIFS(Table16[ประเภท],L47,Table16[ฝ่าย],A53)=0,"-",COUNTIFS(Table16[ประเภท],L47,Table16[ฝ่าย],A53))</f>
        <v>-</v>
      </c>
      <c r="M53" s="154" t="str">
        <f>IF(COUNTIFS(Table16[ประเภท],M47,Table16[ฝ่าย],A53)=0,"-",COUNTIFS(Table16[ประเภท],M47,Table16[ฝ่าย],A53))</f>
        <v>-</v>
      </c>
      <c r="O53" s="188" t="str">
        <f>IF(COUNTIFS(Table16[ประเภท],O47,Table16[ฝ่าย],A53)=0,"-",COUNTIFS(Table16[ประเภท],O47,Table16[ฝ่าย],A53))</f>
        <v>-</v>
      </c>
      <c r="P53" s="311"/>
      <c r="Q53" s="166"/>
      <c r="R53" s="2"/>
    </row>
    <row r="54" spans="1:31" ht="25.05" customHeight="1" thickBot="1">
      <c r="A54" s="47" t="s">
        <v>60</v>
      </c>
      <c r="B54" s="48">
        <f>COUNTIF(Table16[ฝ่าย],A54)</f>
        <v>0</v>
      </c>
      <c r="C54" s="50">
        <f>B54/B62</f>
        <v>0</v>
      </c>
      <c r="D54" s="167" t="str">
        <f>IF(COUNTIFS(Table16[ประเภท],D47,Table16[ฝ่าย],A54)=0,"-",COUNTIFS(Table16[ประเภท],D47,Table16[ฝ่าย],A54))</f>
        <v>-</v>
      </c>
      <c r="E54" s="167" t="str">
        <f>IF(COUNTIFS(Table16[ประเภท],E47,Table16[ฝ่าย],A54)=0,"-",COUNTIFS(Table16[ประเภท],E47,Table16[ฝ่าย],A54))</f>
        <v>-</v>
      </c>
      <c r="F54" s="167" t="str">
        <f>IF(COUNTIFS(Table16[ประเภท],F47,Table16[ฝ่าย],A54)=0,"-",COUNTIFS(Table16[ประเภท],F47,Table16[ฝ่าย],A54))</f>
        <v>-</v>
      </c>
      <c r="G54" s="167" t="str">
        <f>IF(COUNTIFS(Table16[ประเภท],G47,Table16[ฝ่าย],A54)=0,"-",COUNTIFS(Table16[ประเภท],G47,Table16[ฝ่าย],A54))</f>
        <v>-</v>
      </c>
      <c r="H54" s="167" t="str">
        <f>IF(COUNTIFS(Table16[ประเภท],H47,Table16[ฝ่าย],A54)=0,"-",COUNTIFS(Table16[ประเภท],H47,Table16[ฝ่าย],A54))</f>
        <v>-</v>
      </c>
      <c r="I54" s="167" t="str">
        <f>IF(COUNTIFS(Table16[ประเภท],I47,Table16[ฝ่าย],A54)=0,"-",COUNTIFS(Table16[ประเภท],I47,Table16[ฝ่าย],A54))</f>
        <v>-</v>
      </c>
      <c r="J54" s="167" t="str">
        <f>IF(COUNTIFS(Table16[ประเภท],J47,Table16[ฝ่าย],A54)=0,"-",COUNTIFS(Table16[ประเภท],J47,Table16[ฝ่าย],A54))</f>
        <v>-</v>
      </c>
      <c r="K54" s="167" t="str">
        <f>IF(COUNTIFS(Table16[ประเภท],K47,Table16[ฝ่าย],A54)=0,"-",COUNTIFS(Table16[ประเภท],K47,Table16[ฝ่าย],A54))</f>
        <v>-</v>
      </c>
      <c r="L54" s="167" t="str">
        <f>IF(COUNTIFS(Table16[ประเภท],L47,Table16[ฝ่าย],A54)=0,"-",COUNTIFS(Table16[ประเภท],L47,Table16[ฝ่าย],A54))</f>
        <v>-</v>
      </c>
      <c r="M54" s="154" t="str">
        <f>IF(COUNTIFS(Table16[ประเภท],M47,Table16[ฝ่าย],A54)=0,"-",COUNTIFS(Table16[ประเภท],M47,Table16[ฝ่าย],A54))</f>
        <v>-</v>
      </c>
      <c r="O54" s="188" t="str">
        <f>IF(COUNTIFS(Table16[ประเภท],O47,Table16[ฝ่าย],A54)=0,"-",COUNTIFS(Table16[ประเภท],O47,Table16[ฝ่าย],A54))</f>
        <v>-</v>
      </c>
      <c r="P54" s="311"/>
      <c r="Q54" s="166"/>
      <c r="R54" s="2"/>
    </row>
    <row r="55" spans="1:31" ht="25.05" customHeight="1" thickBot="1">
      <c r="A55" s="47" t="s">
        <v>61</v>
      </c>
      <c r="B55" s="48">
        <f>COUNTIF(Table16[ฝ่าย],A55)</f>
        <v>2</v>
      </c>
      <c r="C55" s="50">
        <f>B55/B62</f>
        <v>2.0618556701030927E-2</v>
      </c>
      <c r="D55" s="167" t="str">
        <f>IF(COUNTIFS(Table16[ประเภท],D47,Table16[ฝ่าย],A55)=0,"-",COUNTIFS(Table16[ประเภท],D47,Table16[ฝ่าย],A55))</f>
        <v>-</v>
      </c>
      <c r="E55" s="167" t="str">
        <f>IF(COUNTIFS(Table16[ประเภท],E47,Table16[ฝ่าย],A55)=0,"-",COUNTIFS(Table16[ประเภท],E47,Table16[ฝ่าย],A55))</f>
        <v>-</v>
      </c>
      <c r="F55" s="167" t="str">
        <f>IF(COUNTIFS(Table16[ประเภท],F47,Table16[ฝ่าย],A55)=0,"-",COUNTIFS(Table16[ประเภท],F47,Table16[ฝ่าย],A55))</f>
        <v>-</v>
      </c>
      <c r="G55" s="167" t="str">
        <f>IF(COUNTIFS(Table16[ประเภท],G47,Table16[ฝ่าย],A55)=0,"-",COUNTIFS(Table16[ประเภท],G47,Table16[ฝ่าย],A55))</f>
        <v>-</v>
      </c>
      <c r="H55" s="167" t="str">
        <f>IF(COUNTIFS(Table16[ประเภท],H47,Table16[ฝ่าย],A55)=0,"-",COUNTIFS(Table16[ประเภท],H47,Table16[ฝ่าย],A55))</f>
        <v>-</v>
      </c>
      <c r="I55" s="167">
        <f>IF(COUNTIFS(Table16[ประเภท],I47,Table16[ฝ่าย],A55)=0,"-",COUNTIFS(Table16[ประเภท],I47,Table16[ฝ่าย],A55))</f>
        <v>1</v>
      </c>
      <c r="J55" s="167">
        <f>IF(COUNTIFS(Table16[ประเภท],J47,Table16[ฝ่าย],A55)=0,"-",COUNTIFS(Table16[ประเภท],J47,Table16[ฝ่าย],A55))</f>
        <v>1</v>
      </c>
      <c r="K55" s="167" t="str">
        <f>IF(COUNTIFS(Table16[ประเภท],K47,Table16[ฝ่าย],A55)=0,"-",COUNTIFS(Table16[ประเภท],K47,Table16[ฝ่าย],A55))</f>
        <v>-</v>
      </c>
      <c r="L55" s="167" t="str">
        <f>IF(COUNTIFS(Table16[ประเภท],L47,Table16[ฝ่าย],A55)=0,"-",COUNTIFS(Table16[ประเภท],L47,Table16[ฝ่าย],A55))</f>
        <v>-</v>
      </c>
      <c r="M55" s="154" t="str">
        <f>IF(COUNTIFS(Table16[ประเภท],M47,Table16[ฝ่าย],A55)=0,"-",COUNTIFS(Table16[ประเภท],M47,Table16[ฝ่าย],A55))</f>
        <v>-</v>
      </c>
      <c r="O55" s="188" t="str">
        <f>IF(COUNTIFS(Table16[ประเภท],O47,Table16[ฝ่าย],A55)=0,"-",COUNTIFS(Table16[ประเภท],O47,Table16[ฝ่าย],A55))</f>
        <v>-</v>
      </c>
      <c r="P55" s="311"/>
      <c r="Q55" s="166"/>
      <c r="R55" s="2"/>
    </row>
    <row r="56" spans="1:31" ht="25.05" customHeight="1" thickBot="1">
      <c r="A56" s="47" t="s">
        <v>62</v>
      </c>
      <c r="B56" s="48">
        <f>COUNTIF(Table16[ฝ่าย],A56)</f>
        <v>0</v>
      </c>
      <c r="C56" s="50">
        <f>B56/B62</f>
        <v>0</v>
      </c>
      <c r="D56" s="167" t="str">
        <f>IF(COUNTIFS(Table16[ประเภท],D47,Table16[ฝ่าย],A56)=0,"-",COUNTIFS(Table16[ประเภท],D47,Table16[ฝ่าย],A56))</f>
        <v>-</v>
      </c>
      <c r="E56" s="167" t="str">
        <f>IF(COUNTIFS(Table16[ประเภท],E47,Table16[ฝ่าย],A56)=0,"-",COUNTIFS(Table16[ประเภท],E47,Table16[ฝ่าย],A56))</f>
        <v>-</v>
      </c>
      <c r="F56" s="167" t="str">
        <f>IF(COUNTIFS(Table16[ประเภท],F47,Table16[ฝ่าย],A56)=0,"-",COUNTIFS(Table16[ประเภท],F47,Table16[ฝ่าย],A56))</f>
        <v>-</v>
      </c>
      <c r="G56" s="167" t="str">
        <f>IF(COUNTIFS(Table16[ประเภท],G47,Table16[ฝ่าย],A56)=0,"-",COUNTIFS(Table16[ประเภท],G47,Table16[ฝ่าย],A56))</f>
        <v>-</v>
      </c>
      <c r="H56" s="167" t="str">
        <f>IF(COUNTIFS(Table16[ประเภท],H47,Table16[ฝ่าย],A56)=0,"-",COUNTIFS(Table16[ประเภท],H47,Table16[ฝ่าย],A56))</f>
        <v>-</v>
      </c>
      <c r="I56" s="167" t="str">
        <f>IF(COUNTIFS(Table16[ประเภท],I47,Table16[ฝ่าย],A56)=0,"-",COUNTIFS(Table16[ประเภท],I47,Table16[ฝ่าย],A56))</f>
        <v>-</v>
      </c>
      <c r="J56" s="167" t="str">
        <f>IF(COUNTIFS(Table16[ประเภท],J47,Table16[ฝ่าย],A56)=0,"-",COUNTIFS(Table16[ประเภท],J47,Table16[ฝ่าย],A56))</f>
        <v>-</v>
      </c>
      <c r="K56" s="167" t="str">
        <f>IF(COUNTIFS(Table16[ประเภท],K47,Table16[ฝ่าย],A56)=0,"-",COUNTIFS(Table16[ประเภท],K47,Table16[ฝ่าย],A56))</f>
        <v>-</v>
      </c>
      <c r="L56" s="167" t="str">
        <f>IF(COUNTIFS(Table16[ประเภท],L47,Table16[ฝ่าย],A56)=0,"-",COUNTIFS(Table16[ประเภท],L47,Table16[ฝ่าย],A56))</f>
        <v>-</v>
      </c>
      <c r="M56" s="154" t="str">
        <f>IF(COUNTIFS(Table16[ประเภท],M47,Table16[ฝ่าย],A56)=0,"-",COUNTIFS(Table16[ประเภท],M47,Table16[ฝ่าย],A56))</f>
        <v>-</v>
      </c>
      <c r="O56" s="188" t="str">
        <f>IF(COUNTIFS(Table16[ประเภท],O47,Table16[ฝ่าย],A56)=0,"-",COUNTIFS(Table16[ประเภท],O47,Table16[ฝ่าย],A56))</f>
        <v>-</v>
      </c>
      <c r="P56" s="311"/>
      <c r="Q56" s="157"/>
      <c r="R56" s="2"/>
    </row>
    <row r="57" spans="1:31" ht="25.05" customHeight="1" thickBot="1">
      <c r="A57" s="47" t="s">
        <v>63</v>
      </c>
      <c r="B57" s="48">
        <f>COUNTIF(Table16[ฝ่าย],A57)</f>
        <v>0</v>
      </c>
      <c r="C57" s="50">
        <f>B57/B62</f>
        <v>0</v>
      </c>
      <c r="D57" s="167" t="str">
        <f>IF(COUNTIFS(Table16[ประเภท],D47,Table16[ฝ่าย],A57)=0,"-",COUNTIFS(Table16[ประเภท],D47,Table16[ฝ่าย],A57))</f>
        <v>-</v>
      </c>
      <c r="E57" s="167" t="str">
        <f>IF(COUNTIFS(Table16[ประเภท],E47,Table16[ฝ่าย],A57)=0,"-",COUNTIFS(Table16[ประเภท],E47,Table16[ฝ่าย],A57))</f>
        <v>-</v>
      </c>
      <c r="F57" s="167" t="str">
        <f>IF(COUNTIFS(Table16[ประเภท],F47,Table16[ฝ่าย],A57)=0,"-",COUNTIFS(Table16[ประเภท],F47,Table16[ฝ่าย],A57))</f>
        <v>-</v>
      </c>
      <c r="G57" s="167" t="str">
        <f>IF(COUNTIFS(Table16[ประเภท],G47,Table16[ฝ่าย],A57)=0,"-",COUNTIFS(Table16[ประเภท],G47,Table16[ฝ่าย],A57))</f>
        <v>-</v>
      </c>
      <c r="H57" s="167" t="str">
        <f>IF(COUNTIFS(Table16[ประเภท],H47,Table16[ฝ่าย],A57)=0,"-",COUNTIFS(Table16[ประเภท],H47,Table16[ฝ่าย],A57))</f>
        <v>-</v>
      </c>
      <c r="I57" s="167" t="str">
        <f>IF(COUNTIFS(Table16[ประเภท],I47,Table16[ฝ่าย],A57)=0,"-",COUNTIFS(Table16[ประเภท],I47,Table16[ฝ่าย],A57))</f>
        <v>-</v>
      </c>
      <c r="J57" s="167" t="str">
        <f>IF(COUNTIFS(Table16[ประเภท],J47,Table16[ฝ่าย],A57)=0,"-",COUNTIFS(Table16[ประเภท],J47,Table16[ฝ่าย],A57))</f>
        <v>-</v>
      </c>
      <c r="K57" s="167" t="str">
        <f>IF(COUNTIFS(Table16[ประเภท],K47,Table16[ฝ่าย],A57)=0,"-",COUNTIFS(Table16[ประเภท],K47,Table16[ฝ่าย],A57))</f>
        <v>-</v>
      </c>
      <c r="L57" s="167" t="str">
        <f>IF(COUNTIFS(Table16[ประเภท],L47,Table16[ฝ่าย],A57)=0,"-",COUNTIFS(Table16[ประเภท],L47,Table16[ฝ่าย],A57))</f>
        <v>-</v>
      </c>
      <c r="M57" s="154" t="str">
        <f>IF(COUNTIFS(Table16[ประเภท],M47,Table16[ฝ่าย],A57)=0,"-",COUNTIFS(Table16[ประเภท],M47,Table16[ฝ่าย],A57))</f>
        <v>-</v>
      </c>
      <c r="O57" s="188" t="str">
        <f>IF(COUNTIFS(Table16[ประเภท],O47,Table16[ฝ่าย],A57)=0,"-",COUNTIFS(Table16[ประเภท],O47,Table16[ฝ่าย],A57))</f>
        <v>-</v>
      </c>
      <c r="P57" s="311"/>
      <c r="Q57" s="166"/>
      <c r="R57" s="2"/>
    </row>
    <row r="58" spans="1:31" ht="25.05" customHeight="1" thickBot="1">
      <c r="A58" s="47" t="s">
        <v>64</v>
      </c>
      <c r="B58" s="48">
        <f>COUNTIF(Table16[ฝ่าย],A58)</f>
        <v>0</v>
      </c>
      <c r="C58" s="50">
        <f>B58/B62</f>
        <v>0</v>
      </c>
      <c r="D58" s="167" t="str">
        <f>IF(COUNTIFS(Table16[ประเภท],D47,Table16[ฝ่าย],A58)=0,"-",COUNTIFS(Table16[ประเภท],D47,Table16[ฝ่าย],A58))</f>
        <v>-</v>
      </c>
      <c r="E58" s="167" t="str">
        <f>IF(COUNTIFS(Table16[ประเภท],E47,Table16[ฝ่าย],A58)=0,"-",COUNTIFS(Table16[ประเภท],E47,Table16[ฝ่าย],A58))</f>
        <v>-</v>
      </c>
      <c r="F58" s="167" t="str">
        <f>IF(COUNTIFS(Table16[ประเภท],F47,Table16[ฝ่าย],A58)=0,"-",COUNTIFS(Table16[ประเภท],F47,Table16[ฝ่าย],A58))</f>
        <v>-</v>
      </c>
      <c r="G58" s="167" t="str">
        <f>IF(COUNTIFS(Table16[ประเภท],G47,Table16[ฝ่าย],A58)=0,"-",COUNTIFS(Table16[ประเภท],G47,Table16[ฝ่าย],A58))</f>
        <v>-</v>
      </c>
      <c r="H58" s="167" t="str">
        <f>IF(COUNTIFS(Table16[ประเภท],H47,Table16[ฝ่าย],A58)=0,"-",COUNTIFS(Table16[ประเภท],H47,Table16[ฝ่าย],A58))</f>
        <v>-</v>
      </c>
      <c r="I58" s="167" t="str">
        <f>IF(COUNTIFS(Table16[ประเภท],I47,Table16[ฝ่าย],A58)=0,"-",COUNTIFS(Table16[ประเภท],I47,Table16[ฝ่าย],A58))</f>
        <v>-</v>
      </c>
      <c r="J58" s="167" t="str">
        <f>IF(COUNTIFS(Table16[ประเภท],J47,Table16[ฝ่าย],A58)=0,"-",COUNTIFS(Table16[ประเภท],J47,Table16[ฝ่าย],A58))</f>
        <v>-</v>
      </c>
      <c r="K58" s="167" t="str">
        <f>IF(COUNTIFS(Table16[ประเภท],K47,Table16[ฝ่าย],A58)=0,"-",COUNTIFS(Table16[ประเภท],K47,Table16[ฝ่าย],A58))</f>
        <v>-</v>
      </c>
      <c r="L58" s="167" t="str">
        <f>IF(COUNTIFS(Table16[ประเภท],L47,Table16[ฝ่าย],A58)=0,"-",COUNTIFS(Table16[ประเภท],L47,Table16[ฝ่าย],A58))</f>
        <v>-</v>
      </c>
      <c r="M58" s="154" t="str">
        <f>IF(COUNTIFS(Table16[ประเภท],M47,Table16[ฝ่าย],A58)=0,"-",COUNTIFS(Table16[ประเภท],M47,Table16[ฝ่าย],A58))</f>
        <v>-</v>
      </c>
      <c r="O58" s="188" t="str">
        <f>IF(COUNTIFS(Table16[ประเภท],O47,Table16[ฝ่าย],A58)=0,"-",COUNTIFS(Table16[ประเภท],O47,Table16[ฝ่าย],A58))</f>
        <v>-</v>
      </c>
      <c r="P58" s="310"/>
      <c r="Q58" s="310"/>
      <c r="R58" s="313"/>
    </row>
    <row r="59" spans="1:31" ht="25.05" customHeight="1" thickBot="1">
      <c r="A59" s="47" t="s">
        <v>65</v>
      </c>
      <c r="B59" s="48">
        <f>COUNTIF(Table16[ฝ่าย],A59)</f>
        <v>0</v>
      </c>
      <c r="C59" s="50">
        <f>B59/B62</f>
        <v>0</v>
      </c>
      <c r="D59" s="167" t="str">
        <f>IF(COUNTIFS(Table16[ประเภท],D47,Table16[ฝ่าย],A59)=0,"-",COUNTIFS(Table16[ประเภท],D47,Table16[ฝ่าย],A59))</f>
        <v>-</v>
      </c>
      <c r="E59" s="167" t="str">
        <f>IF(COUNTIFS(Table16[ประเภท],E47,Table16[ฝ่าย],A59)=0,"-",COUNTIFS(Table16[ประเภท],E47,Table16[ฝ่าย],A59))</f>
        <v>-</v>
      </c>
      <c r="F59" s="167" t="str">
        <f>IF(COUNTIFS(Table16[ประเภท],F47,Table16[ฝ่าย],A59)=0,"-",COUNTIFS(Table16[ประเภท],F47,Table16[ฝ่าย],A59))</f>
        <v>-</v>
      </c>
      <c r="G59" s="167" t="str">
        <f>IF(COUNTIFS(Table16[ประเภท],G47,Table16[ฝ่าย],A59)=0,"-",COUNTIFS(Table16[ประเภท],G47,Table16[ฝ่าย],A59))</f>
        <v>-</v>
      </c>
      <c r="H59" s="167" t="str">
        <f>IF(COUNTIFS(Table16[ประเภท],H47,Table16[ฝ่าย],A59)=0,"-",COUNTIFS(Table16[ประเภท],H47,Table16[ฝ่าย],A59))</f>
        <v>-</v>
      </c>
      <c r="I59" s="167" t="str">
        <f>IF(COUNTIFS(Table16[ประเภท],I47,Table16[ฝ่าย],A59)=0,"-",COUNTIFS(Table16[ประเภท],I47,Table16[ฝ่าย],A59))</f>
        <v>-</v>
      </c>
      <c r="J59" s="167" t="str">
        <f>IF(COUNTIFS(Table16[ประเภท],J47,Table16[ฝ่าย],A59)=0,"-",COUNTIFS(Table16[ประเภท],J47,Table16[ฝ่าย],A59))</f>
        <v>-</v>
      </c>
      <c r="K59" s="167" t="str">
        <f>IF(COUNTIFS(Table16[ประเภท],K47,Table16[ฝ่าย],A59)=0,"-",COUNTIFS(Table16[ประเภท],K47,Table16[ฝ่าย],A59))</f>
        <v>-</v>
      </c>
      <c r="L59" s="167" t="str">
        <f>IF(COUNTIFS(Table16[ประเภท],L47,Table16[ฝ่าย],A59)=0,"-",COUNTIFS(Table16[ประเภท],L47,Table16[ฝ่าย],A59))</f>
        <v>-</v>
      </c>
      <c r="M59" s="154" t="str">
        <f>IF(COUNTIFS(Table16[ประเภท],M47,Table16[ฝ่าย],A59)=0,"-",COUNTIFS(Table16[ประเภท],M47,Table16[ฝ่าย],A59))</f>
        <v>-</v>
      </c>
      <c r="O59" s="188" t="str">
        <f>IF(COUNTIFS(Table16[ประเภท],O47,Table16[ฝ่าย],A59)=0,"-",COUNTIFS(Table16[ประเภท],O47,Table16[ฝ่าย],A59))</f>
        <v>-</v>
      </c>
      <c r="P59" s="287"/>
      <c r="Q59" s="287"/>
      <c r="R59" s="314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65"/>
      <c r="AE59" s="156"/>
    </row>
    <row r="60" spans="1:31" ht="25.05" customHeight="1" thickBot="1">
      <c r="A60" s="47" t="s">
        <v>66</v>
      </c>
      <c r="B60" s="48">
        <f>COUNTIF(Table16[ฝ่าย],A60)</f>
        <v>0</v>
      </c>
      <c r="C60" s="50">
        <f>B60/B62</f>
        <v>0</v>
      </c>
      <c r="D60" s="167" t="str">
        <f>IF(COUNTIFS(Table16[ประเภท],D47,Table16[ฝ่าย],A60)=0,"-",COUNTIFS(Table16[ประเภท],D47,Table16[ฝ่าย],A60))</f>
        <v>-</v>
      </c>
      <c r="E60" s="167" t="str">
        <f>IF(COUNTIFS(Table16[ประเภท],E47,Table16[ฝ่าย],A60)=0,"-",COUNTIFS(Table16[ประเภท],E47,Table16[ฝ่าย],A60))</f>
        <v>-</v>
      </c>
      <c r="F60" s="167" t="str">
        <f>IF(COUNTIFS(Table16[ประเภท],F47,Table16[ฝ่าย],A60)=0,"-",COUNTIFS(Table16[ประเภท],F47,Table16[ฝ่าย],A60))</f>
        <v>-</v>
      </c>
      <c r="G60" s="167" t="str">
        <f>IF(COUNTIFS(Table16[ประเภท],G47,Table16[ฝ่าย],A60)=0,"-",COUNTIFS(Table16[ประเภท],G47,Table16[ฝ่าย],A60))</f>
        <v>-</v>
      </c>
      <c r="H60" s="167" t="str">
        <f>IF(COUNTIFS(Table16[ประเภท],H47,Table16[ฝ่าย],A60)=0,"-",COUNTIFS(Table16[ประเภท],H47,Table16[ฝ่าย],A60))</f>
        <v>-</v>
      </c>
      <c r="I60" s="167" t="str">
        <f>IF(COUNTIFS(Table16[ประเภท],I47,Table16[ฝ่าย],A60)=0,"-",COUNTIFS(Table16[ประเภท],I47,Table16[ฝ่าย],A60))</f>
        <v>-</v>
      </c>
      <c r="J60" s="167" t="str">
        <f>IF(COUNTIFS(Table16[ประเภท],J47,Table16[ฝ่าย],A60)=0,"-",COUNTIFS(Table16[ประเภท],J47,Table16[ฝ่าย],A60))</f>
        <v>-</v>
      </c>
      <c r="K60" s="167" t="str">
        <f>IF(COUNTIFS(Table16[ประเภท],K47,Table16[ฝ่าย],A60)=0,"-",COUNTIFS(Table16[ประเภท],K47,Table16[ฝ่าย],A60))</f>
        <v>-</v>
      </c>
      <c r="L60" s="167" t="str">
        <f>IF(COUNTIFS(Table16[ประเภท],L47,Table16[ฝ่าย],A60)=0,"-",COUNTIFS(Table16[ประเภท],L47,Table16[ฝ่าย],A60))</f>
        <v>-</v>
      </c>
      <c r="M60" s="154" t="str">
        <f>IF(COUNTIFS(Table16[ประเภท],M47,Table16[ฝ่าย],A60)=0,"-",COUNTIFS(Table16[ประเภท],M47,Table16[ฝ่าย],A60))</f>
        <v>-</v>
      </c>
      <c r="O60" s="188" t="str">
        <f>IF(COUNTIFS(Table16[ประเภท],O47,Table16[ฝ่าย],A60)=0,"-",COUNTIFS(Table16[ประเภท],O47,Table16[ฝ่าย],A60))</f>
        <v>-</v>
      </c>
      <c r="R60" s="164"/>
    </row>
    <row r="61" spans="1:31" ht="25.05" customHeight="1" thickBot="1">
      <c r="A61" s="193" t="s">
        <v>120</v>
      </c>
      <c r="B61" s="48">
        <f>COUNTIF(Table16[ฝ่าย],A61)</f>
        <v>11</v>
      </c>
      <c r="C61" s="50">
        <f>B61/B63</f>
        <v>0.33333333333333331</v>
      </c>
      <c r="D61" s="167" t="str">
        <f>IF(COUNTIFS(Table16[ประเภท],D47,Table16[ฝ่าย],A61)=0,"-",COUNTIFS(Table16[ประเภท],D47,Table16[ฝ่าย],A61))</f>
        <v>-</v>
      </c>
      <c r="E61" s="167" t="str">
        <f>IF(COUNTIFS(Table16[ประเภท],E47,Table16[ฝ่าย],A61)=0,"-",COUNTIFS(Table16[ประเภท],E47,Table16[ฝ่าย],A61))</f>
        <v>-</v>
      </c>
      <c r="F61" s="167">
        <f>IF(COUNTIFS(Table16[ประเภท],F47,Table16[ฝ่าย],A61)=0,"-",COUNTIFS(Table16[ประเภท],F47,Table16[ฝ่าย],A61))</f>
        <v>1</v>
      </c>
      <c r="G61" s="167" t="str">
        <f>IF(COUNTIFS(Table16[ประเภท],G47,Table16[ฝ่าย],A61)=0,"-",COUNTIFS(Table16[ประเภท],G47,Table16[ฝ่าย],A61))</f>
        <v>-</v>
      </c>
      <c r="H61" s="167">
        <f>IF(COUNTIFS(Table16[ประเภท],H47,Table16[ฝ่าย],A61)=0,"-",COUNTIFS(Table16[ประเภท],H47,Table16[ฝ่าย],A61))</f>
        <v>7</v>
      </c>
      <c r="I61" s="167" t="str">
        <f>IF(COUNTIFS(Table16[ประเภท],I47,Table16[ฝ่าย],A61)=0,"-",COUNTIFS(Table16[ประเภท],I47,Table16[ฝ่าย],A61))</f>
        <v>-</v>
      </c>
      <c r="J61" s="167" t="str">
        <f>IF(COUNTIFS(Table16[ประเภท],J47,Table16[ฝ่าย],A61)=0,"-",COUNTIFS(Table16[ประเภท],J47,Table16[ฝ่าย],A61))</f>
        <v>-</v>
      </c>
      <c r="K61" s="167" t="str">
        <f>IF(COUNTIFS(Table16[ประเภท],K47,Table16[ฝ่าย],A61)=0,"-",COUNTIFS(Table16[ประเภท],K47,Table16[ฝ่าย],A61))</f>
        <v>-</v>
      </c>
      <c r="L61" s="167" t="str">
        <f>IF(COUNTIFS(Table16[ประเภท],L47,Table16[ฝ่าย],A61)=0,"-",COUNTIFS(Table16[ประเภท],L47,Table16[ฝ่าย],A61))</f>
        <v>-</v>
      </c>
      <c r="M61" s="154" t="str">
        <f>IF(COUNTIFS(Table16[ประเภท],M47,Table16[ฝ่าย],A61)=0,"-",COUNTIFS(Table16[ประเภท],M47,Table16[ฝ่าย],A61))</f>
        <v>-</v>
      </c>
      <c r="O61" s="188" t="str">
        <f>IF(COUNTIFS(Table16[ประเภท],O47,Table16[ฝ่าย],A61)=0,"-",COUNTIFS(Table16[ประเภท],O47,Table16[ฝ่าย],A61))</f>
        <v>-</v>
      </c>
      <c r="R61" s="2"/>
    </row>
    <row r="62" spans="1:31" ht="25.05" customHeight="1" thickBot="1">
      <c r="A62" s="51" t="s">
        <v>67</v>
      </c>
      <c r="B62" s="52">
        <f>SUM(B48:B61)</f>
        <v>97</v>
      </c>
      <c r="C62" s="53">
        <f t="shared" ref="C62:M62" si="2">SUM(C48:C60)</f>
        <v>0.88659793814432997</v>
      </c>
      <c r="D62" s="52">
        <f t="shared" si="2"/>
        <v>12</v>
      </c>
      <c r="E62" s="52">
        <f t="shared" si="2"/>
        <v>9</v>
      </c>
      <c r="F62" s="52">
        <f t="shared" si="2"/>
        <v>7</v>
      </c>
      <c r="G62" s="52">
        <f t="shared" si="2"/>
        <v>2</v>
      </c>
      <c r="H62" s="52">
        <f t="shared" si="2"/>
        <v>5</v>
      </c>
      <c r="I62" s="52">
        <f t="shared" si="2"/>
        <v>3</v>
      </c>
      <c r="J62" s="52">
        <f t="shared" si="2"/>
        <v>10</v>
      </c>
      <c r="K62" s="52">
        <f t="shared" si="2"/>
        <v>19</v>
      </c>
      <c r="L62" s="52">
        <f t="shared" si="2"/>
        <v>5</v>
      </c>
      <c r="M62" s="155">
        <f t="shared" si="2"/>
        <v>3</v>
      </c>
      <c r="N62" s="155">
        <f>SUM(N48:N60)</f>
        <v>2</v>
      </c>
      <c r="O62" s="155">
        <f>SUM(O48:O60)</f>
        <v>4</v>
      </c>
    </row>
    <row r="63" spans="1:31" ht="25.05" customHeight="1" thickBot="1">
      <c r="A63" s="54" t="s">
        <v>68</v>
      </c>
      <c r="B63" s="55">
        <f>COUNTIF(Table16[สถานะ],"เรียบร้อย")</f>
        <v>33</v>
      </c>
      <c r="C63" s="247"/>
      <c r="D63" s="248" t="str">
        <f>IF(COUNTIFS(Table16[ประเภท],D62,Table16[ฝ่าย],A63,Table16[สถานะ],"เรียบร้อย")=0,"-",COUNTIFS(Table16[ประเภท],D62,Table16[ฝ่าย],A63,Table16[สถานะ],"เรียบร้อย"))</f>
        <v>-</v>
      </c>
      <c r="E63" s="248"/>
      <c r="F63" s="248"/>
      <c r="G63" s="248"/>
      <c r="H63" s="248"/>
      <c r="I63" s="248"/>
      <c r="J63" s="248"/>
      <c r="K63" s="248"/>
      <c r="L63" s="248"/>
      <c r="M63" s="249"/>
      <c r="N63" s="249"/>
      <c r="O63" s="249"/>
    </row>
    <row r="64" spans="1:31" ht="25.05" customHeight="1" thickBot="1">
      <c r="A64" s="57" t="s">
        <v>69</v>
      </c>
      <c r="B64" s="58">
        <f>COUNTIF(Table16[สถานะ],"กำลังดำเนินการ")</f>
        <v>0</v>
      </c>
      <c r="C64" s="56"/>
      <c r="D64" s="2"/>
      <c r="E64" s="2"/>
      <c r="F64" s="2"/>
      <c r="G64" s="2"/>
      <c r="H64" s="2"/>
      <c r="I64" s="2"/>
      <c r="J64" s="2"/>
      <c r="K64" s="2"/>
      <c r="L64" s="2"/>
    </row>
    <row r="65" spans="1:16" ht="25.05" customHeight="1">
      <c r="A65" s="59" t="s">
        <v>3</v>
      </c>
      <c r="B65" s="60">
        <f>COUNTIF(Table16[สถานะ],"รอดำเนินการ")</f>
        <v>0</v>
      </c>
      <c r="C65" s="56"/>
      <c r="D65" s="2"/>
      <c r="E65" s="2"/>
      <c r="F65" s="2"/>
      <c r="G65" s="2"/>
      <c r="H65" s="2"/>
      <c r="I65" s="2"/>
      <c r="J65" s="2"/>
      <c r="K65" s="2"/>
      <c r="L65" s="2"/>
    </row>
    <row r="66" spans="1:16" ht="25.05" customHeight="1" thickBot="1">
      <c r="A66" s="61" t="s">
        <v>70</v>
      </c>
      <c r="B66" s="62">
        <f>COUNTIF(Table16[สถานะ],"โอนย้าย")</f>
        <v>64</v>
      </c>
    </row>
    <row r="67" spans="1:16" ht="30" customHeight="1" thickBot="1">
      <c r="A67" s="312" t="s">
        <v>367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3"/>
      <c r="O67" s="303"/>
      <c r="P67" s="303"/>
    </row>
    <row r="68" spans="1:16" ht="18.600000000000001" thickBot="1">
      <c r="A68" s="304" t="s">
        <v>368</v>
      </c>
      <c r="B68" s="304" t="s">
        <v>42</v>
      </c>
      <c r="C68" s="306" t="s">
        <v>43</v>
      </c>
      <c r="D68" s="308" t="s">
        <v>44</v>
      </c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</row>
    <row r="69" spans="1:16" ht="15" thickBot="1">
      <c r="A69" s="305"/>
      <c r="B69" s="305"/>
      <c r="C69" s="307"/>
      <c r="D69" s="43" t="s">
        <v>45</v>
      </c>
      <c r="E69" s="43" t="s">
        <v>46</v>
      </c>
      <c r="F69" s="44" t="s">
        <v>47</v>
      </c>
      <c r="G69" s="44" t="s">
        <v>48</v>
      </c>
      <c r="H69" s="44" t="s">
        <v>49</v>
      </c>
      <c r="I69" s="44" t="s">
        <v>50</v>
      </c>
      <c r="J69" s="44" t="s">
        <v>51</v>
      </c>
      <c r="K69" s="44" t="s">
        <v>52</v>
      </c>
      <c r="L69" s="45" t="s">
        <v>53</v>
      </c>
      <c r="M69" s="46" t="s">
        <v>72</v>
      </c>
      <c r="N69" s="46" t="s">
        <v>117</v>
      </c>
      <c r="O69" s="189" t="s">
        <v>376</v>
      </c>
      <c r="P69" s="189" t="s">
        <v>357</v>
      </c>
    </row>
    <row r="70" spans="1:16" ht="15" thickBot="1">
      <c r="A70" s="47" t="s">
        <v>54</v>
      </c>
      <c r="B70" s="48">
        <f>COUNTIFS(Table16[ฝ่าย],A70,Table16[สัปดาห์แจ้งซ่อม],1)</f>
        <v>52</v>
      </c>
      <c r="C70" s="49">
        <f>B70/B84</f>
        <v>0.83870967741935487</v>
      </c>
      <c r="D70" s="162">
        <f>IF(COUNTIFS(Table16[ประเภท],D69,Table16[ฝ่าย],A70,Table16[สัปดาห์แจ้งซ่อม],"1")=0,"-",COUNTIFS(Table16[ประเภท],D69,Table16[ฝ่าย],A70,Table16[สัปดาห์แจ้งซ่อม],"1"))</f>
        <v>10</v>
      </c>
      <c r="E70" s="162">
        <f>IF(COUNTIFS(Table16[ประเภท],E69,Table16[ฝ่าย],A70,Table16[สัปดาห์แจ้งซ่อม],"1")=0,"-",COUNTIFS(Table16[ประเภท],E69,Table16[ฝ่าย],A70,Table16[สัปดาห์แจ้งซ่อม],"1"))</f>
        <v>6</v>
      </c>
      <c r="F70" s="162">
        <f>IF(COUNTIFS(Table16[ประเภท],F69,Table16[ฝ่าย],A70,Table16[สัปดาห์แจ้งซ่อม],"1")=0,"-",COUNTIFS(Table16[ประเภท],F69,Table16[ฝ่าย],A70,Table16[สัปดาห์แจ้งซ่อม],"1"))</f>
        <v>3</v>
      </c>
      <c r="G70" s="162" t="str">
        <f>IF(COUNTIFS(Table16[ประเภท],G69,Table16[ฝ่าย],A70,Table16[สัปดาห์แจ้งซ่อม],"1")=0,"-",COUNTIFS(Table16[ประเภท],G69,Table16[ฝ่าย],A70,Table16[สัปดาห์แจ้งซ่อม],"1"))</f>
        <v>-</v>
      </c>
      <c r="H70" s="162">
        <f>IF(COUNTIFS(Table16[ประเภท],H69,Table16[ฝ่าย],A70,Table16[สัปดาห์แจ้งซ่อม],"1")=0,"-",COUNTIFS(Table16[ประเภท],H69,Table16[ฝ่าย],A70,Table16[สัปดาห์แจ้งซ่อม],"1"))</f>
        <v>5</v>
      </c>
      <c r="I70" s="162">
        <f>IF(COUNTIFS(Table16[ประเภท],I69,Table16[ฝ่าย],A70,Table16[สัปดาห์แจ้งซ่อม],"1")=0,"-",COUNTIFS(Table16[ประเภท],I69,Table16[ฝ่าย],A70,Table16[สัปดาห์แจ้งซ่อม],"1"))</f>
        <v>1</v>
      </c>
      <c r="J70" s="162">
        <f>IF(COUNTIFS(Table16[ประเภท],J69,Table16[ฝ่าย],A70,Table16[สัปดาห์แจ้งซ่อม],"1")=0,"-",COUNTIFS(Table16[ประเภท],J69,Table16[ฝ่าย],A70,Table16[สัปดาห์แจ้งซ่อม],"1"))</f>
        <v>4</v>
      </c>
      <c r="K70" s="162">
        <f>IF(COUNTIFS(Table16[ประเภท],K69,Table16[ฝ่าย],A70,Table16[สัปดาห์แจ้งซ่อม],"1")=0,"-",COUNTIFS(Table16[ประเภท],K69,Table16[ฝ่าย],A70,Table16[สัปดาห์แจ้งซ่อม],"1"))</f>
        <v>12</v>
      </c>
      <c r="L70" s="162" t="str">
        <f>IF(COUNTIFS(Table16[ประเภท],L69,Table16[ฝ่าย],A70,Table16[สัปดาห์แจ้งซ่อม],"1")=0,"-",COUNTIFS(Table16[ประเภท],L69,Table16[ฝ่าย],A70,Table16[สัปดาห์แจ้งซ่อม],"1"))</f>
        <v>-</v>
      </c>
      <c r="M70" s="162">
        <f>IF(COUNTIFS(Table16[ประเภท],M69,Table16[ฝ่าย],A70,Table16[สัปดาห์แจ้งซ่อม],"1")=0,"-",COUNTIFS(Table16[ประเภท],M69,Table16[ฝ่าย],A70,Table16[สัปดาห์แจ้งซ่อม],"1"))</f>
        <v>2</v>
      </c>
      <c r="N70" s="162">
        <f>IF(COUNTIFS(Table16[ประเภท],N69,Table16[ฝ่าย],A70,Table16[สัปดาห์แจ้งซ่อม],"1")=0,"-",COUNTIFS(Table16[ประเภท],N69,Table16[ฝ่าย],A70,Table16[สัปดาห์แจ้งซ่อม],"1"))</f>
        <v>3</v>
      </c>
      <c r="O70" s="162">
        <f>IF(COUNTIFS(Table16[ประเภท],O69,Table16[ฝ่าย],A70,Table16[สัปดาห์แจ้งซ่อม],"1")=0,"-",COUNTIFS(Table16[ประเภท],O69,Table16[ฝ่าย],A70,Table16[สัปดาห์แจ้งซ่อม],"1"))</f>
        <v>2</v>
      </c>
      <c r="P70" s="190">
        <f>IF(COUNTIFS(Table16[ประเภท],P69,Table16[ฝ่าย],A70,Table16[สัปดาห์แจ้งซ่อม],"1")=0,"-",COUNTIFS(Table16[ประเภท],P69,Table16[ฝ่าย],A70,Table16[สัปดาห์แจ้งซ่อม],"1"))</f>
        <v>4</v>
      </c>
    </row>
    <row r="71" spans="1:16" ht="15" thickBot="1">
      <c r="A71" s="47" t="s">
        <v>55</v>
      </c>
      <c r="B71" s="48">
        <f>COUNTIFS(Table16[ฝ่าย],A71,Table16[สัปดาห์แจ้งซ่อม],1)</f>
        <v>0</v>
      </c>
      <c r="C71" s="49">
        <f>B71/B84</f>
        <v>0</v>
      </c>
      <c r="D71" s="162" t="str">
        <f>IF(COUNTIFS(Table16[ประเภท],D69,Table16[ฝ่าย],A71,Table16[สัปดาห์แจ้งซ่อม],"1")=0,"-",COUNTIFS(Table16[ประเภท],D69,Table16[ฝ่าย],A71,Table16[สัปดาห์แจ้งซ่อม],"1"))</f>
        <v>-</v>
      </c>
      <c r="E71" s="162" t="str">
        <f>IF(COUNTIFS(Table16[ประเภท],E69,Table16[ฝ่าย],A71,Table16[สัปดาห์แจ้งซ่อม],"1")=0,"-",COUNTIFS(Table16[ประเภท],E69,Table16[ฝ่าย],A71,Table16[สัปดาห์แจ้งซ่อม],"1"))</f>
        <v>-</v>
      </c>
      <c r="F71" s="162" t="str">
        <f>IF(COUNTIFS(Table16[ประเภท],F69,Table16[ฝ่าย],A71,Table16[สัปดาห์แจ้งซ่อม],"1")=0,"-",COUNTIFS(Table16[ประเภท],F69,Table16[ฝ่าย],A71,Table16[สัปดาห์แจ้งซ่อม],"1"))</f>
        <v>-</v>
      </c>
      <c r="G71" s="162" t="str">
        <f>IF(COUNTIFS(Table16[ประเภท],G69,Table16[ฝ่าย],A71,Table16[สัปดาห์แจ้งซ่อม],"1")=0,"-",COUNTIFS(Table16[ประเภท],G69,Table16[ฝ่าย],A71,Table16[สัปดาห์แจ้งซ่อม],"1"))</f>
        <v>-</v>
      </c>
      <c r="H71" s="162" t="str">
        <f>IF(COUNTIFS(Table16[ประเภท],H69,Table16[ฝ่าย],A71,Table16[สัปดาห์แจ้งซ่อม],"1")=0,"-",COUNTIFS(Table16[ประเภท],H69,Table16[ฝ่าย],A71,Table16[สัปดาห์แจ้งซ่อม],"1"))</f>
        <v>-</v>
      </c>
      <c r="I71" s="162" t="str">
        <f>IF(COUNTIFS(Table16[ประเภท],I69,Table16[ฝ่าย],A71,Table16[สัปดาห์แจ้งซ่อม],"1")=0,"-",COUNTIFS(Table16[ประเภท],I69,Table16[ฝ่าย],A71,Table16[สัปดาห์แจ้งซ่อม],"1"))</f>
        <v>-</v>
      </c>
      <c r="J71" s="162" t="str">
        <f>IF(COUNTIFS(Table16[ประเภท],J69,Table16[ฝ่าย],A71,Table16[สัปดาห์แจ้งซ่อม],"1")=0,"-",COUNTIFS(Table16[ประเภท],J69,Table16[ฝ่าย],A71,Table16[สัปดาห์แจ้งซ่อม],"1"))</f>
        <v>-</v>
      </c>
      <c r="K71" s="162" t="str">
        <f>IF(COUNTIFS(Table16[ประเภท],K69,Table16[ฝ่าย],A71,Table16[สัปดาห์แจ้งซ่อม],"1")=0,"-",COUNTIFS(Table16[ประเภท],K69,Table16[ฝ่าย],A71,Table16[สัปดาห์แจ้งซ่อม],"1"))</f>
        <v>-</v>
      </c>
      <c r="L71" s="162" t="str">
        <f>IF(COUNTIFS(Table16[ประเภท],L69,Table16[ฝ่าย],A71,Table16[สัปดาห์แจ้งซ่อม],"1")=0,"-",COUNTIFS(Table16[ประเภท],L69,Table16[ฝ่าย],A71,Table16[สัปดาห์แจ้งซ่อม],"1"))</f>
        <v>-</v>
      </c>
      <c r="M71" s="162" t="str">
        <f>IF(COUNTIFS(Table16[ประเภท],M69,Table16[ฝ่าย],A71,Table16[สัปดาห์แจ้งซ่อม],"1")=0,"-",COUNTIFS(Table16[ประเภท],M69,Table16[ฝ่าย],A71,Table16[สัปดาห์แจ้งซ่อม],"1"))</f>
        <v>-</v>
      </c>
      <c r="N71" s="162" t="str">
        <f>IF(COUNTIFS(Table16[ประเภท],N69,Table16[ฝ่าย],A71,Table16[สัปดาห์แจ้งซ่อม],"1")=0,"-",COUNTIFS(Table16[ประเภท],N69,Table16[ฝ่าย],A71,Table16[สัปดาห์แจ้งซ่อม],"1"))</f>
        <v>-</v>
      </c>
      <c r="O71" s="162"/>
      <c r="P71" s="190" t="str">
        <f>IF(COUNTIFS(Table16[ประเภท],P69,Table16[ฝ่าย],A71,Table16[สัปดาห์แจ้งซ่อม],"1")=0,"-",COUNTIFS(Table16[ประเภท],P69,Table16[ฝ่าย],A71,Table16[สัปดาห์แจ้งซ่อม],"1"))</f>
        <v>-</v>
      </c>
    </row>
    <row r="72" spans="1:16" ht="15" thickBot="1">
      <c r="A72" s="47" t="s">
        <v>56</v>
      </c>
      <c r="B72" s="48">
        <f>COUNTIFS(Table16[ฝ่าย],A72,Table16[สัปดาห์แจ้งซ่อม],1)</f>
        <v>1</v>
      </c>
      <c r="C72" s="49">
        <f>B72/B84</f>
        <v>1.6129032258064516E-2</v>
      </c>
      <c r="D72" s="162" t="str">
        <f>IF(COUNTIFS(Table16[ประเภท],D69,Table16[ฝ่าย],A72,Table16[สัปดาห์แจ้งซ่อม],"1")=0,"-",COUNTIFS(Table16[ประเภท],D69,Table16[ฝ่าย],A72,Table16[สัปดาห์แจ้งซ่อม],"1"))</f>
        <v>-</v>
      </c>
      <c r="E72" s="162" t="str">
        <f>IF(COUNTIFS(Table16[ประเภท],E69,Table16[ฝ่าย],A72,Table16[สัปดาห์แจ้งซ่อม],"1")=0,"-",COUNTIFS(Table16[ประเภท],E69,Table16[ฝ่าย],A72,Table16[สัปดาห์แจ้งซ่อม],"1"))</f>
        <v>-</v>
      </c>
      <c r="F72" s="162" t="str">
        <f>IF(COUNTIFS(Table16[ประเภท],F69,Table16[ฝ่าย],A72,Table16[สัปดาห์แจ้งซ่อม],"1")=0,"-",COUNTIFS(Table16[ประเภท],F69,Table16[ฝ่าย],A72,Table16[สัปดาห์แจ้งซ่อม],"1"))</f>
        <v>-</v>
      </c>
      <c r="G72" s="162" t="str">
        <f>IF(COUNTIFS(Table16[ประเภท],G69,Table16[ฝ่าย],A72,Table16[สัปดาห์แจ้งซ่อม],"1")=0,"-",COUNTIFS(Table16[ประเภท],G69,Table16[ฝ่าย],A72,Table16[สัปดาห์แจ้งซ่อม],"1"))</f>
        <v>-</v>
      </c>
      <c r="H72" s="162" t="str">
        <f>IF(COUNTIFS(Table16[ประเภท],H69,Table16[ฝ่าย],A72,Table16[สัปดาห์แจ้งซ่อม],"1")=0,"-",COUNTIFS(Table16[ประเภท],H69,Table16[ฝ่าย],A72,Table16[สัปดาห์แจ้งซ่อม],"1"))</f>
        <v>-</v>
      </c>
      <c r="I72" s="162" t="str">
        <f>IF(COUNTIFS(Table16[ประเภท],I69,Table16[ฝ่าย],A72,Table16[สัปดาห์แจ้งซ่อม],"1")=0,"-",COUNTIFS(Table16[ประเภท],I69,Table16[ฝ่าย],A72,Table16[สัปดาห์แจ้งซ่อม],"1"))</f>
        <v>-</v>
      </c>
      <c r="J72" s="162" t="str">
        <f>IF(COUNTIFS(Table16[ประเภท],J69,Table16[ฝ่าย],A72,Table16[สัปดาห์แจ้งซ่อม],"1")=0,"-",COUNTIFS(Table16[ประเภท],J69,Table16[ฝ่าย],A72,Table16[สัปดาห์แจ้งซ่อม],"1"))</f>
        <v>-</v>
      </c>
      <c r="K72" s="162" t="str">
        <f>IF(COUNTIFS(Table16[ประเภท],K69,Table16[ฝ่าย],A72,Table16[สัปดาห์แจ้งซ่อม],"1")=0,"-",COUNTIFS(Table16[ประเภท],K69,Table16[ฝ่าย],A72,Table16[สัปดาห์แจ้งซ่อม],"1"))</f>
        <v>-</v>
      </c>
      <c r="L72" s="162">
        <f>IF(COUNTIFS(Table16[ประเภท],L69,Table16[ฝ่าย],A72,Table16[สัปดาห์แจ้งซ่อม],"1")=0,"-",COUNTIFS(Table16[ประเภท],L69,Table16[ฝ่าย],A72,Table16[สัปดาห์แจ้งซ่อม],"1"))</f>
        <v>1</v>
      </c>
      <c r="M72" s="162" t="str">
        <f>IF(COUNTIFS(Table16[ประเภท],M69,Table16[ฝ่าย],A72,Table16[สัปดาห์แจ้งซ่อม],"1")=0,"-",COUNTIFS(Table16[ประเภท],M69,Table16[ฝ่าย],A72,Table16[สัปดาห์แจ้งซ่อม],"1"))</f>
        <v>-</v>
      </c>
      <c r="N72" s="162" t="str">
        <f>IF(COUNTIFS(Table16[ประเภท],N69,Table16[ฝ่าย],A72,Table16[สัปดาห์แจ้งซ่อม],"1")=0,"-",COUNTIFS(Table16[ประเภท],N69,Table16[ฝ่าย],A72,Table16[สัปดาห์แจ้งซ่อม],"1"))</f>
        <v>-</v>
      </c>
      <c r="O72" s="162"/>
      <c r="P72" s="190" t="str">
        <f>IF(COUNTIFS(Table16[ประเภท],P69,Table16[ฝ่าย],A72,Table16[สัปดาห์แจ้งซ่อม],"1")=0,"-",COUNTIFS(Table16[ประเภท],P69,Table16[ฝ่าย],A72,Table16[สัปดาห์แจ้งซ่อม],"1"))</f>
        <v>-</v>
      </c>
    </row>
    <row r="73" spans="1:16" ht="15" thickBot="1">
      <c r="A73" s="47" t="s">
        <v>57</v>
      </c>
      <c r="B73" s="48">
        <f>COUNTIFS(Table16[ฝ่าย],A73,Table16[สัปดาห์แจ้งซ่อม],1)</f>
        <v>0</v>
      </c>
      <c r="C73" s="49">
        <f>B73/B84</f>
        <v>0</v>
      </c>
      <c r="D73" s="162" t="str">
        <f>IF(COUNTIFS(Table16[ประเภท],D69,Table16[ฝ่าย],A73,Table16[สัปดาห์แจ้งซ่อม],"1")=0,"-",COUNTIFS(Table16[ประเภท],D69,Table16[ฝ่าย],A73,Table16[สัปดาห์แจ้งซ่อม],"1"))</f>
        <v>-</v>
      </c>
      <c r="E73" s="162" t="str">
        <f>IF(COUNTIFS(Table16[ประเภท],E69,Table16[ฝ่าย],A73,Table16[สัปดาห์แจ้งซ่อม],"1")=0,"-",COUNTIFS(Table16[ประเภท],E69,Table16[ฝ่าย],A73,Table16[สัปดาห์แจ้งซ่อม],"1"))</f>
        <v>-</v>
      </c>
      <c r="F73" s="162" t="str">
        <f>IF(COUNTIFS(Table16[ประเภท],F69,Table16[ฝ่าย],A73,Table16[สัปดาห์แจ้งซ่อม],"1")=0,"-",COUNTIFS(Table16[ประเภท],F69,Table16[ฝ่าย],A73,Table16[สัปดาห์แจ้งซ่อม],"1"))</f>
        <v>-</v>
      </c>
      <c r="G73" s="162" t="str">
        <f>IF(COUNTIFS(Table16[ประเภท],G69,Table16[ฝ่าย],A73,Table16[สัปดาห์แจ้งซ่อม],"1")=0,"-",COUNTIFS(Table16[ประเภท],G69,Table16[ฝ่าย],A73,Table16[สัปดาห์แจ้งซ่อม],"1"))</f>
        <v>-</v>
      </c>
      <c r="H73" s="162" t="str">
        <f>IF(COUNTIFS(Table16[ประเภท],H69,Table16[ฝ่าย],A73,Table16[สัปดาห์แจ้งซ่อม],"1")=0,"-",COUNTIFS(Table16[ประเภท],H69,Table16[ฝ่าย],A73,Table16[สัปดาห์แจ้งซ่อม],"1"))</f>
        <v>-</v>
      </c>
      <c r="I73" s="162" t="str">
        <f>IF(COUNTIFS(Table16[ประเภท],I69,Table16[ฝ่าย],A73,Table16[สัปดาห์แจ้งซ่อม],"1")=0,"-",COUNTIFS(Table16[ประเภท],I69,Table16[ฝ่าย],A73,Table16[สัปดาห์แจ้งซ่อม],"1"))</f>
        <v>-</v>
      </c>
      <c r="J73" s="162" t="str">
        <f>IF(COUNTIFS(Table16[ประเภท],J69,Table16[ฝ่าย],A73,Table16[สัปดาห์แจ้งซ่อม],"1")=0,"-",COUNTIFS(Table16[ประเภท],J69,Table16[ฝ่าย],A73,Table16[สัปดาห์แจ้งซ่อม],"1"))</f>
        <v>-</v>
      </c>
      <c r="K73" s="162" t="str">
        <f>IF(COUNTIFS(Table16[ประเภท],K69,Table16[ฝ่าย],A73,Table16[สัปดาห์แจ้งซ่อม],"1")=0,"-",COUNTIFS(Table16[ประเภท],K69,Table16[ฝ่าย],A73,Table16[สัปดาห์แจ้งซ่อม],"1"))</f>
        <v>-</v>
      </c>
      <c r="L73" s="162" t="str">
        <f>IF(COUNTIFS(Table16[ประเภท],L69,Table16[ฝ่าย],A73,Table16[สัปดาห์แจ้งซ่อม],"1")=0,"-",COUNTIFS(Table16[ประเภท],L69,Table16[ฝ่าย],A73,Table16[สัปดาห์แจ้งซ่อม],"1"))</f>
        <v>-</v>
      </c>
      <c r="M73" s="162" t="str">
        <f>IF(COUNTIFS(Table16[ประเภท],M69,Table16[ฝ่าย],A73,Table16[สัปดาห์แจ้งซ่อม],"1")=0,"-",COUNTIFS(Table16[ประเภท],M69,Table16[ฝ่าย],A73,Table16[สัปดาห์แจ้งซ่อม],"1"))</f>
        <v>-</v>
      </c>
      <c r="N73" s="162" t="str">
        <f>IF(COUNTIFS(Table16[ประเภท],N69,Table16[ฝ่าย],A73,Table16[สัปดาห์แจ้งซ่อม],"1")=0,"-",COUNTIFS(Table16[ประเภท],N69,Table16[ฝ่าย],A73,Table16[สัปดาห์แจ้งซ่อม],"1"))</f>
        <v>-</v>
      </c>
      <c r="O73" s="162"/>
      <c r="P73" s="190" t="str">
        <f>IF(COUNTIFS(Table16[ประเภท],P69,Table16[ฝ่าย],A73,Table16[สัปดาห์แจ้งซ่อม],"1")=0,"-",COUNTIFS(Table16[ประเภท],P69,Table16[ฝ่าย],A73,Table16[สัปดาห์แจ้งซ่อม],"1"))</f>
        <v>-</v>
      </c>
    </row>
    <row r="74" spans="1:16" ht="15" thickBot="1">
      <c r="A74" s="47" t="s">
        <v>58</v>
      </c>
      <c r="B74" s="48">
        <f>COUNTIFS(Table16[ฝ่าย],A74,Table16[สัปดาห์แจ้งซ่อม],1)</f>
        <v>0</v>
      </c>
      <c r="C74" s="49">
        <f>B74/B84</f>
        <v>0</v>
      </c>
      <c r="D74" s="162" t="str">
        <f>IF(COUNTIFS(Table16[ประเภท],D69,Table16[ฝ่าย],A74,Table16[สัปดาห์แจ้งซ่อม],"1")=0,"-",COUNTIFS(Table16[ประเภท],D69,Table16[ฝ่าย],A74,Table16[สัปดาห์แจ้งซ่อม],"1"))</f>
        <v>-</v>
      </c>
      <c r="E74" s="162" t="str">
        <f>IF(COUNTIFS(Table16[ประเภท],E69,Table16[ฝ่าย],A74,Table16[สัปดาห์แจ้งซ่อม],"1")=0,"-",COUNTIFS(Table16[ประเภท],E69,Table16[ฝ่าย],A74,Table16[สัปดาห์แจ้งซ่อม],"1"))</f>
        <v>-</v>
      </c>
      <c r="F74" s="162" t="str">
        <f>IF(COUNTIFS(Table16[ประเภท],F69,Table16[ฝ่าย],A74,Table16[สัปดาห์แจ้งซ่อม],"1")=0,"-",COUNTIFS(Table16[ประเภท],F69,Table16[ฝ่าย],A74,Table16[สัปดาห์แจ้งซ่อม],"1"))</f>
        <v>-</v>
      </c>
      <c r="G74" s="162" t="str">
        <f>IF(COUNTIFS(Table16[ประเภท],G69,Table16[ฝ่าย],A74,Table16[สัปดาห์แจ้งซ่อม],"1")=0,"-",COUNTIFS(Table16[ประเภท],G69,Table16[ฝ่าย],A74,Table16[สัปดาห์แจ้งซ่อม],"1"))</f>
        <v>-</v>
      </c>
      <c r="H74" s="162" t="str">
        <f>IF(COUNTIFS(Table16[ประเภท],H69,Table16[ฝ่าย],A74,Table16[สัปดาห์แจ้งซ่อม],"1")=0,"-",COUNTIFS(Table16[ประเภท],H69,Table16[ฝ่าย],A74,Table16[สัปดาห์แจ้งซ่อม],"1"))</f>
        <v>-</v>
      </c>
      <c r="I74" s="162" t="str">
        <f>IF(COUNTIFS(Table16[ประเภท],I69,Table16[ฝ่าย],A74,Table16[สัปดาห์แจ้งซ่อม],"1")=0,"-",COUNTIFS(Table16[ประเภท],I69,Table16[ฝ่าย],A74,Table16[สัปดาห์แจ้งซ่อม],"1"))</f>
        <v>-</v>
      </c>
      <c r="J74" s="162" t="str">
        <f>IF(COUNTIFS(Table16[ประเภท],J69,Table16[ฝ่าย],A74,Table16[สัปดาห์แจ้งซ่อม],"1")=0,"-",COUNTIFS(Table16[ประเภท],J69,Table16[ฝ่าย],A74,Table16[สัปดาห์แจ้งซ่อม],"1"))</f>
        <v>-</v>
      </c>
      <c r="K74" s="162" t="str">
        <f>IF(COUNTIFS(Table16[ประเภท],K69,Table16[ฝ่าย],A74,Table16[สัปดาห์แจ้งซ่อม],"1")=0,"-",COUNTIFS(Table16[ประเภท],K69,Table16[ฝ่าย],A74,Table16[สัปดาห์แจ้งซ่อม],"1"))</f>
        <v>-</v>
      </c>
      <c r="L74" s="162" t="str">
        <f>IF(COUNTIFS(Table16[ประเภท],L69,Table16[ฝ่าย],A74,Table16[สัปดาห์แจ้งซ่อม],"1")=0,"-",COUNTIFS(Table16[ประเภท],L69,Table16[ฝ่าย],A74,Table16[สัปดาห์แจ้งซ่อม],"1"))</f>
        <v>-</v>
      </c>
      <c r="M74" s="162" t="str">
        <f>IF(COUNTIFS(Table16[ประเภท],M69,Table16[ฝ่าย],A74,Table16[สัปดาห์แจ้งซ่อม],"1")=0,"-",COUNTIFS(Table16[ประเภท],M69,Table16[ฝ่าย],A74,Table16[สัปดาห์แจ้งซ่อม],"1"))</f>
        <v>-</v>
      </c>
      <c r="N74" s="162" t="str">
        <f>IF(COUNTIFS(Table16[ประเภท],N69,Table16[ฝ่าย],A74,Table16[สัปดาห์แจ้งซ่อม],"1")=0,"-",COUNTIFS(Table16[ประเภท],N69,Table16[ฝ่าย],A74,Table16[สัปดาห์แจ้งซ่อม],"1"))</f>
        <v>-</v>
      </c>
      <c r="O74" s="162"/>
      <c r="P74" s="190" t="str">
        <f>IF(COUNTIFS(Table16[ประเภท],P69,Table16[ฝ่าย],A74,Table16[สัปดาห์แจ้งซ่อม],"1")=0,"-",COUNTIFS(Table16[ประเภท],P69,Table16[ฝ่าย],A74,Table16[สัปดาห์แจ้งซ่อม],"1"))</f>
        <v>-</v>
      </c>
    </row>
    <row r="75" spans="1:16" ht="15" thickBot="1">
      <c r="A75" s="47" t="s">
        <v>59</v>
      </c>
      <c r="B75" s="48">
        <f>COUNTIFS(Table16[ฝ่าย],A75,Table16[สัปดาห์แจ้งซ่อม],1)</f>
        <v>0</v>
      </c>
      <c r="C75" s="49">
        <f>B75/B84</f>
        <v>0</v>
      </c>
      <c r="D75" s="162" t="str">
        <f>IF(COUNTIFS(Table16[ประเภท],D69,Table16[ฝ่าย],A75,Table16[สัปดาห์แจ้งซ่อม],"1")=0,"-",COUNTIFS(Table16[ประเภท],D69,Table16[ฝ่าย],A75,Table16[สัปดาห์แจ้งซ่อม],"1"))</f>
        <v>-</v>
      </c>
      <c r="E75" s="162" t="str">
        <f>IF(COUNTIFS(Table16[ประเภท],E69,Table16[ฝ่าย],A75,Table16[สัปดาห์แจ้งซ่อม],"1")=0,"-",COUNTIFS(Table16[ประเภท],E69,Table16[ฝ่าย],A75,Table16[สัปดาห์แจ้งซ่อม],"1"))</f>
        <v>-</v>
      </c>
      <c r="F75" s="162" t="str">
        <f>IF(COUNTIFS(Table16[ประเภท],F69,Table16[ฝ่าย],A75,Table16[สัปดาห์แจ้งซ่อม],"1")=0,"-",COUNTIFS(Table16[ประเภท],F69,Table16[ฝ่าย],A75,Table16[สัปดาห์แจ้งซ่อม],"1"))</f>
        <v>-</v>
      </c>
      <c r="G75" s="162" t="str">
        <f>IF(COUNTIFS(Table16[ประเภท],G69,Table16[ฝ่าย],A75,Table16[สัปดาห์แจ้งซ่อม],"1")=0,"-",COUNTIFS(Table16[ประเภท],G69,Table16[ฝ่าย],A75,Table16[สัปดาห์แจ้งซ่อม],"1"))</f>
        <v>-</v>
      </c>
      <c r="H75" s="162" t="str">
        <f>IF(COUNTIFS(Table16[ประเภท],H69,Table16[ฝ่าย],A75,Table16[สัปดาห์แจ้งซ่อม],"1")=0,"-",COUNTIFS(Table16[ประเภท],H69,Table16[ฝ่าย],A75,Table16[สัปดาห์แจ้งซ่อม],"1"))</f>
        <v>-</v>
      </c>
      <c r="I75" s="162" t="str">
        <f>IF(COUNTIFS(Table16[ประเภท],I69,Table16[ฝ่าย],A75,Table16[สัปดาห์แจ้งซ่อม],"1")=0,"-",COUNTIFS(Table16[ประเภท],I69,Table16[ฝ่าย],A75,Table16[สัปดาห์แจ้งซ่อม],"1"))</f>
        <v>-</v>
      </c>
      <c r="J75" s="162" t="str">
        <f>IF(COUNTIFS(Table16[ประเภท],J69,Table16[ฝ่าย],A75,Table16[สัปดาห์แจ้งซ่อม],"1")=0,"-",COUNTIFS(Table16[ประเภท],J69,Table16[ฝ่าย],A75,Table16[สัปดาห์แจ้งซ่อม],"1"))</f>
        <v>-</v>
      </c>
      <c r="K75" s="162" t="str">
        <f>IF(COUNTIFS(Table16[ประเภท],K69,Table16[ฝ่าย],A75,Table16[สัปดาห์แจ้งซ่อม],"1")=0,"-",COUNTIFS(Table16[ประเภท],K69,Table16[ฝ่าย],A75,Table16[สัปดาห์แจ้งซ่อม],"1"))</f>
        <v>-</v>
      </c>
      <c r="L75" s="162" t="str">
        <f>IF(COUNTIFS(Table16[ประเภท],L69,Table16[ฝ่าย],A75,Table16[สัปดาห์แจ้งซ่อม],"1")=0,"-",COUNTIFS(Table16[ประเภท],L69,Table16[ฝ่าย],A75,Table16[สัปดาห์แจ้งซ่อม],"1"))</f>
        <v>-</v>
      </c>
      <c r="M75" s="162" t="str">
        <f>IF(COUNTIFS(Table16[ประเภท],M69,Table16[ฝ่าย],A75,Table16[สัปดาห์แจ้งซ่อม],"1")=0,"-",COUNTIFS(Table16[ประเภท],M69,Table16[ฝ่าย],A75,Table16[สัปดาห์แจ้งซ่อม],"1"))</f>
        <v>-</v>
      </c>
      <c r="N75" s="162" t="str">
        <f>IF(COUNTIFS(Table16[ประเภท],N69,Table16[ฝ่าย],A75,Table16[สัปดาห์แจ้งซ่อม],"1")=0,"-",COUNTIFS(Table16[ประเภท],N69,Table16[ฝ่าย],A75,Table16[สัปดาห์แจ้งซ่อม],"1"))</f>
        <v>-</v>
      </c>
      <c r="O75" s="162"/>
      <c r="P75" s="190" t="str">
        <f>IF(COUNTIFS(Table16[ประเภท],P69,Table16[ฝ่าย],A75,Table16[สัปดาห์แจ้งซ่อม],"1")=0,"-",COUNTIFS(Table16[ประเภท],P69,Table16[ฝ่าย],A75,Table16[สัปดาห์แจ้งซ่อม],"1"))</f>
        <v>-</v>
      </c>
    </row>
    <row r="76" spans="1:16" ht="15" thickBot="1">
      <c r="A76" s="47" t="s">
        <v>60</v>
      </c>
      <c r="B76" s="48">
        <f>COUNTIFS(Table16[ฝ่าย],A76,Table16[สัปดาห์แจ้งซ่อม],1)</f>
        <v>0</v>
      </c>
      <c r="C76" s="49">
        <f>B76/B84</f>
        <v>0</v>
      </c>
      <c r="D76" s="162" t="str">
        <f>IF(COUNTIFS(Table16[ประเภท],D69,Table16[ฝ่าย],A76,Table16[สัปดาห์แจ้งซ่อม],"1")=0,"-",COUNTIFS(Table16[ประเภท],D69,Table16[ฝ่าย],A76,Table16[สัปดาห์แจ้งซ่อม],"1"))</f>
        <v>-</v>
      </c>
      <c r="E76" s="162" t="str">
        <f>IF(COUNTIFS(Table16[ประเภท],E69,Table16[ฝ่าย],A76,Table16[สัปดาห์แจ้งซ่อม],"1")=0,"-",COUNTIFS(Table16[ประเภท],E69,Table16[ฝ่าย],A76,Table16[สัปดาห์แจ้งซ่อม],"1"))</f>
        <v>-</v>
      </c>
      <c r="F76" s="162" t="str">
        <f>IF(COUNTIFS(Table16[ประเภท],F69,Table16[ฝ่าย],A76,Table16[สัปดาห์แจ้งซ่อม],"1")=0,"-",COUNTIFS(Table16[ประเภท],F69,Table16[ฝ่าย],A76,Table16[สัปดาห์แจ้งซ่อม],"1"))</f>
        <v>-</v>
      </c>
      <c r="G76" s="162" t="str">
        <f>IF(COUNTIFS(Table16[ประเภท],G69,Table16[ฝ่าย],A76,Table16[สัปดาห์แจ้งซ่อม],"1")=0,"-",COUNTIFS(Table16[ประเภท],G69,Table16[ฝ่าย],A76,Table16[สัปดาห์แจ้งซ่อม],"1"))</f>
        <v>-</v>
      </c>
      <c r="H76" s="162" t="str">
        <f>IF(COUNTIFS(Table16[ประเภท],H69,Table16[ฝ่าย],A76,Table16[สัปดาห์แจ้งซ่อม],"1")=0,"-",COUNTIFS(Table16[ประเภท],H69,Table16[ฝ่าย],A76,Table16[สัปดาห์แจ้งซ่อม],"1"))</f>
        <v>-</v>
      </c>
      <c r="I76" s="162" t="str">
        <f>IF(COUNTIFS(Table16[ประเภท],I69,Table16[ฝ่าย],A76,Table16[สัปดาห์แจ้งซ่อม],"1")=0,"-",COUNTIFS(Table16[ประเภท],I69,Table16[ฝ่าย],A76,Table16[สัปดาห์แจ้งซ่อม],"1"))</f>
        <v>-</v>
      </c>
      <c r="J76" s="162" t="str">
        <f>IF(COUNTIFS(Table16[ประเภท],J69,Table16[ฝ่าย],A76,Table16[สัปดาห์แจ้งซ่อม],"1")=0,"-",COUNTIFS(Table16[ประเภท],J69,Table16[ฝ่าย],A76,Table16[สัปดาห์แจ้งซ่อม],"1"))</f>
        <v>-</v>
      </c>
      <c r="K76" s="162" t="str">
        <f>IF(COUNTIFS(Table16[ประเภท],K69,Table16[ฝ่าย],A76,Table16[สัปดาห์แจ้งซ่อม],"1")=0,"-",COUNTIFS(Table16[ประเภท],K69,Table16[ฝ่าย],A76,Table16[สัปดาห์แจ้งซ่อม],"1"))</f>
        <v>-</v>
      </c>
      <c r="L76" s="162" t="str">
        <f>IF(COUNTIFS(Table16[ประเภท],L69,Table16[ฝ่าย],A76,Table16[สัปดาห์แจ้งซ่อม],"1")=0,"-",COUNTIFS(Table16[ประเภท],L69,Table16[ฝ่าย],A76,Table16[สัปดาห์แจ้งซ่อม],"1"))</f>
        <v>-</v>
      </c>
      <c r="M76" s="162" t="str">
        <f>IF(COUNTIFS(Table16[ประเภท],M69,Table16[ฝ่าย],A76,Table16[สัปดาห์แจ้งซ่อม],"1")=0,"-",COUNTIFS(Table16[ประเภท],M69,Table16[ฝ่าย],A76,Table16[สัปดาห์แจ้งซ่อม],"1"))</f>
        <v>-</v>
      </c>
      <c r="N76" s="162" t="str">
        <f>IF(COUNTIFS(Table16[ประเภท],N69,Table16[ฝ่าย],A76,Table16[สัปดาห์แจ้งซ่อม],"1")=0,"-",COUNTIFS(Table16[ประเภท],N69,Table16[ฝ่าย],A76,Table16[สัปดาห์แจ้งซ่อม],"1"))</f>
        <v>-</v>
      </c>
      <c r="O76" s="162"/>
      <c r="P76" s="190" t="str">
        <f>IF(COUNTIFS(Table16[ประเภท],P69,Table16[ฝ่าย],A76,Table16[สัปดาห์แจ้งซ่อม],"1")=0,"-",COUNTIFS(Table16[ประเภท],P69,Table16[ฝ่าย],A76,Table16[สัปดาห์แจ้งซ่อม],"1"))</f>
        <v>-</v>
      </c>
    </row>
    <row r="77" spans="1:16" ht="15" thickBot="1">
      <c r="A77" s="47" t="s">
        <v>61</v>
      </c>
      <c r="B77" s="48">
        <f>COUNTIFS(Table16[ฝ่าย],A77,Table16[สัปดาห์แจ้งซ่อม],1)</f>
        <v>1</v>
      </c>
      <c r="C77" s="49">
        <f>B77/B84</f>
        <v>1.6129032258064516E-2</v>
      </c>
      <c r="D77" s="162" t="str">
        <f>IF(COUNTIFS(Table16[ประเภท],D69,Table16[ฝ่าย],A77,Table16[สัปดาห์แจ้งซ่อม],"1")=0,"-",COUNTIFS(Table16[ประเภท],D69,Table16[ฝ่าย],A77,Table16[สัปดาห์แจ้งซ่อม],"1"))</f>
        <v>-</v>
      </c>
      <c r="E77" s="162" t="str">
        <f>IF(COUNTIFS(Table16[ประเภท],E69,Table16[ฝ่าย],A77,Table16[สัปดาห์แจ้งซ่อม],"1")=0,"-",COUNTIFS(Table16[ประเภท],E69,Table16[ฝ่าย],A77,Table16[สัปดาห์แจ้งซ่อม],"1"))</f>
        <v>-</v>
      </c>
      <c r="F77" s="162" t="str">
        <f>IF(COUNTIFS(Table16[ประเภท],F69,Table16[ฝ่าย],A77,Table16[สัปดาห์แจ้งซ่อม],"1")=0,"-",COUNTIFS(Table16[ประเภท],F69,Table16[ฝ่าย],A77,Table16[สัปดาห์แจ้งซ่อม],"1"))</f>
        <v>-</v>
      </c>
      <c r="G77" s="162" t="str">
        <f>IF(COUNTIFS(Table16[ประเภท],G69,Table16[ฝ่าย],A77,Table16[สัปดาห์แจ้งซ่อม],"1")=0,"-",COUNTIFS(Table16[ประเภท],G69,Table16[ฝ่าย],A77,Table16[สัปดาห์แจ้งซ่อม],"1"))</f>
        <v>-</v>
      </c>
      <c r="H77" s="162" t="str">
        <f>IF(COUNTIFS(Table16[ประเภท],H69,Table16[ฝ่าย],A77,Table16[สัปดาห์แจ้งซ่อม],"1")=0,"-",COUNTIFS(Table16[ประเภท],H69,Table16[ฝ่าย],A77,Table16[สัปดาห์แจ้งซ่อม],"1"))</f>
        <v>-</v>
      </c>
      <c r="I77" s="162" t="str">
        <f>IF(COUNTIFS(Table16[ประเภท],I69,Table16[ฝ่าย],A77,Table16[สัปดาห์แจ้งซ่อม],"1")=0,"-",COUNTIFS(Table16[ประเภท],I69,Table16[ฝ่าย],A77,Table16[สัปดาห์แจ้งซ่อม],"1"))</f>
        <v>-</v>
      </c>
      <c r="J77" s="162">
        <f>IF(COUNTIFS(Table16[ประเภท],J69,Table16[ฝ่าย],A77,Table16[สัปดาห์แจ้งซ่อม],"1")=0,"-",COUNTIFS(Table16[ประเภท],J69,Table16[ฝ่าย],A77,Table16[สัปดาห์แจ้งซ่อม],"1"))</f>
        <v>1</v>
      </c>
      <c r="K77" s="162" t="str">
        <f>IF(COUNTIFS(Table16[ประเภท],K69,Table16[ฝ่าย],A77,Table16[สัปดาห์แจ้งซ่อม],"1")=0,"-",COUNTIFS(Table16[ประเภท],K69,Table16[ฝ่าย],A77,Table16[สัปดาห์แจ้งซ่อม],"1"))</f>
        <v>-</v>
      </c>
      <c r="L77" s="162" t="str">
        <f>IF(COUNTIFS(Table16[ประเภท],L69,Table16[ฝ่าย],A77,Table16[สัปดาห์แจ้งซ่อม],"1")=0,"-",COUNTIFS(Table16[ประเภท],L69,Table16[ฝ่าย],A77,Table16[สัปดาห์แจ้งซ่อม],"1"))</f>
        <v>-</v>
      </c>
      <c r="M77" s="162" t="str">
        <f>IF(COUNTIFS(Table16[ประเภท],M69,Table16[ฝ่าย],A77,Table16[สัปดาห์แจ้งซ่อม],"1")=0,"-",COUNTIFS(Table16[ประเภท],M69,Table16[ฝ่าย],A77,Table16[สัปดาห์แจ้งซ่อม],"1"))</f>
        <v>-</v>
      </c>
      <c r="N77" s="162" t="str">
        <f>IF(COUNTIFS(Table16[ประเภท],N69,Table16[ฝ่าย],A77,Table16[สัปดาห์แจ้งซ่อม],"1")=0,"-",COUNTIFS(Table16[ประเภท],N69,Table16[ฝ่าย],A77,Table16[สัปดาห์แจ้งซ่อม],"1"))</f>
        <v>-</v>
      </c>
      <c r="O77" s="162"/>
      <c r="P77" s="190" t="str">
        <f>IF(COUNTIFS(Table16[ประเภท],P69,Table16[ฝ่าย],A77,Table16[สัปดาห์แจ้งซ่อม],"1")=0,"-",COUNTIFS(Table16[ประเภท],P69,Table16[ฝ่าย],A77,Table16[สัปดาห์แจ้งซ่อม],"1"))</f>
        <v>-</v>
      </c>
    </row>
    <row r="78" spans="1:16" ht="15" thickBot="1">
      <c r="A78" s="47" t="s">
        <v>62</v>
      </c>
      <c r="B78" s="48">
        <f>COUNTIFS(Table16[ฝ่าย],A78,Table16[สัปดาห์แจ้งซ่อม],1)</f>
        <v>0</v>
      </c>
      <c r="C78" s="49">
        <f>B78/B84</f>
        <v>0</v>
      </c>
      <c r="D78" s="162" t="str">
        <f>IF(COUNTIFS(Table16[ประเภท],D69,Table16[ฝ่าย],A78,Table16[สัปดาห์แจ้งซ่อม],"1")=0,"-",COUNTIFS(Table16[ประเภท],D69,Table16[ฝ่าย],A78,Table16[สัปดาห์แจ้งซ่อม],"1"))</f>
        <v>-</v>
      </c>
      <c r="E78" s="162" t="str">
        <f>IF(COUNTIFS(Table16[ประเภท],E69,Table16[ฝ่าย],A78,Table16[สัปดาห์แจ้งซ่อม],"1")=0,"-",COUNTIFS(Table16[ประเภท],E69,Table16[ฝ่าย],A78,Table16[สัปดาห์แจ้งซ่อม],"1"))</f>
        <v>-</v>
      </c>
      <c r="F78" s="162" t="str">
        <f>IF(COUNTIFS(Table16[ประเภท],F69,Table16[ฝ่าย],A78,Table16[สัปดาห์แจ้งซ่อม],"1")=0,"-",COUNTIFS(Table16[ประเภท],F69,Table16[ฝ่าย],A78,Table16[สัปดาห์แจ้งซ่อม],"1"))</f>
        <v>-</v>
      </c>
      <c r="G78" s="162" t="str">
        <f>IF(COUNTIFS(Table16[ประเภท],G69,Table16[ฝ่าย],A78,Table16[สัปดาห์แจ้งซ่อม],"1")=0,"-",COUNTIFS(Table16[ประเภท],G69,Table16[ฝ่าย],A78,Table16[สัปดาห์แจ้งซ่อม],"1"))</f>
        <v>-</v>
      </c>
      <c r="H78" s="162" t="str">
        <f>IF(COUNTIFS(Table16[ประเภท],H69,Table16[ฝ่าย],A78,Table16[สัปดาห์แจ้งซ่อม],"1")=0,"-",COUNTIFS(Table16[ประเภท],H69,Table16[ฝ่าย],A78,Table16[สัปดาห์แจ้งซ่อม],"1"))</f>
        <v>-</v>
      </c>
      <c r="I78" s="162" t="str">
        <f>IF(COUNTIFS(Table16[ประเภท],I69,Table16[ฝ่าย],A78,Table16[สัปดาห์แจ้งซ่อม],"1")=0,"-",COUNTIFS(Table16[ประเภท],I69,Table16[ฝ่าย],A78,Table16[สัปดาห์แจ้งซ่อม],"1"))</f>
        <v>-</v>
      </c>
      <c r="J78" s="162" t="str">
        <f>IF(COUNTIFS(Table16[ประเภท],J69,Table16[ฝ่าย],A78,Table16[สัปดาห์แจ้งซ่อม],"1")=0,"-",COUNTIFS(Table16[ประเภท],J69,Table16[ฝ่าย],A78,Table16[สัปดาห์แจ้งซ่อม],"1"))</f>
        <v>-</v>
      </c>
      <c r="K78" s="162" t="str">
        <f>IF(COUNTIFS(Table16[ประเภท],K69,Table16[ฝ่าย],A78,Table16[สัปดาห์แจ้งซ่อม],"1")=0,"-",COUNTIFS(Table16[ประเภท],K69,Table16[ฝ่าย],A78,Table16[สัปดาห์แจ้งซ่อม],"1"))</f>
        <v>-</v>
      </c>
      <c r="L78" s="162" t="str">
        <f>IF(COUNTIFS(Table16[ประเภท],L69,Table16[ฝ่าย],A78,Table16[สัปดาห์แจ้งซ่อม],"1")=0,"-",COUNTIFS(Table16[ประเภท],L69,Table16[ฝ่าย],A78,Table16[สัปดาห์แจ้งซ่อม],"1"))</f>
        <v>-</v>
      </c>
      <c r="M78" s="162" t="str">
        <f>IF(COUNTIFS(Table16[ประเภท],M69,Table16[ฝ่าย],A78,Table16[สัปดาห์แจ้งซ่อม],"1")=0,"-",COUNTIFS(Table16[ประเภท],M69,Table16[ฝ่าย],A78,Table16[สัปดาห์แจ้งซ่อม],"1"))</f>
        <v>-</v>
      </c>
      <c r="N78" s="162" t="str">
        <f>IF(COUNTIFS(Table16[ประเภท],N69,Table16[ฝ่าย],A78,Table16[สัปดาห์แจ้งซ่อม],"1")=0,"-",COUNTIFS(Table16[ประเภท],N69,Table16[ฝ่าย],A78,Table16[สัปดาห์แจ้งซ่อม],"1"))</f>
        <v>-</v>
      </c>
      <c r="O78" s="162"/>
      <c r="P78" s="190" t="str">
        <f>IF(COUNTIFS(Table16[ประเภท],P69,Table16[ฝ่าย],A78,Table16[สัปดาห์แจ้งซ่อม],"1")=0,"-",COUNTIFS(Table16[ประเภท],P69,Table16[ฝ่าย],A78,Table16[สัปดาห์แจ้งซ่อม],"1"))</f>
        <v>-</v>
      </c>
    </row>
    <row r="79" spans="1:16" ht="15" thickBot="1">
      <c r="A79" s="47" t="s">
        <v>63</v>
      </c>
      <c r="B79" s="48">
        <f>COUNTIFS(Table16[ฝ่าย],A79,Table16[สัปดาห์แจ้งซ่อม],1)</f>
        <v>0</v>
      </c>
      <c r="C79" s="50">
        <f>B79/B84</f>
        <v>0</v>
      </c>
      <c r="D79" s="162" t="str">
        <f>IF(COUNTIFS(Table16[ประเภท],D69,Table16[ฝ่าย],A79,Table16[สัปดาห์แจ้งซ่อม],"1")=0,"-",COUNTIFS(Table16[ประเภท],D69,Table16[ฝ่าย],A79,Table16[สัปดาห์แจ้งซ่อม],"1"))</f>
        <v>-</v>
      </c>
      <c r="E79" s="162" t="str">
        <f>IF(COUNTIFS(Table16[ประเภท],E69,Table16[ฝ่าย],A79,Table16[สัปดาห์แจ้งซ่อม],"1")=0,"-",COUNTIFS(Table16[ประเภท],E69,Table16[ฝ่าย],A79,Table16[สัปดาห์แจ้งซ่อม],"1"))</f>
        <v>-</v>
      </c>
      <c r="F79" s="162" t="str">
        <f>IF(COUNTIFS(Table16[ประเภท],F69,Table16[ฝ่าย],A79,Table16[สัปดาห์แจ้งซ่อม],"1")=0,"-",COUNTIFS(Table16[ประเภท],F69,Table16[ฝ่าย],A79,Table16[สัปดาห์แจ้งซ่อม],"1"))</f>
        <v>-</v>
      </c>
      <c r="G79" s="162" t="str">
        <f>IF(COUNTIFS(Table16[ประเภท],G69,Table16[ฝ่าย],A79,Table16[สัปดาห์แจ้งซ่อม],"1")=0,"-",COUNTIFS(Table16[ประเภท],G69,Table16[ฝ่าย],A79,Table16[สัปดาห์แจ้งซ่อม],"1"))</f>
        <v>-</v>
      </c>
      <c r="H79" s="162" t="str">
        <f>IF(COUNTIFS(Table16[ประเภท],H69,Table16[ฝ่าย],A79,Table16[สัปดาห์แจ้งซ่อม],"1")=0,"-",COUNTIFS(Table16[ประเภท],H69,Table16[ฝ่าย],A79,Table16[สัปดาห์แจ้งซ่อม],"1"))</f>
        <v>-</v>
      </c>
      <c r="I79" s="162" t="str">
        <f>IF(COUNTIFS(Table16[ประเภท],I69,Table16[ฝ่าย],A79,Table16[สัปดาห์แจ้งซ่อม],"1")=0,"-",COUNTIFS(Table16[ประเภท],I69,Table16[ฝ่าย],A79,Table16[สัปดาห์แจ้งซ่อม],"1"))</f>
        <v>-</v>
      </c>
      <c r="J79" s="162" t="str">
        <f>IF(COUNTIFS(Table16[ประเภท],J69,Table16[ฝ่าย],A79,Table16[สัปดาห์แจ้งซ่อม],"1")=0,"-",COUNTIFS(Table16[ประเภท],J69,Table16[ฝ่าย],A79,Table16[สัปดาห์แจ้งซ่อม],"1"))</f>
        <v>-</v>
      </c>
      <c r="K79" s="162" t="str">
        <f>IF(COUNTIFS(Table16[ประเภท],K69,Table16[ฝ่าย],A79,Table16[สัปดาห์แจ้งซ่อม],"1")=0,"-",COUNTIFS(Table16[ประเภท],K69,Table16[ฝ่าย],A79,Table16[สัปดาห์แจ้งซ่อม],"1"))</f>
        <v>-</v>
      </c>
      <c r="L79" s="162" t="str">
        <f>IF(COUNTIFS(Table16[ประเภท],L69,Table16[ฝ่าย],A79,Table16[สัปดาห์แจ้งซ่อม],"1")=0,"-",COUNTIFS(Table16[ประเภท],L69,Table16[ฝ่าย],A79,Table16[สัปดาห์แจ้งซ่อม],"1"))</f>
        <v>-</v>
      </c>
      <c r="M79" s="162" t="str">
        <f>IF(COUNTIFS(Table16[ประเภท],M69,Table16[ฝ่าย],A79,Table16[สัปดาห์แจ้งซ่อม],"1")=0,"-",COUNTIFS(Table16[ประเภท],M69,Table16[ฝ่าย],A79,Table16[สัปดาห์แจ้งซ่อม],"1"))</f>
        <v>-</v>
      </c>
      <c r="N79" s="162" t="str">
        <f>IF(COUNTIFS(Table16[ประเภท],N69,Table16[ฝ่าย],A79,Table16[สัปดาห์แจ้งซ่อม],"1")=0,"-",COUNTIFS(Table16[ประเภท],N69,Table16[ฝ่าย],A79,Table16[สัปดาห์แจ้งซ่อม],"1"))</f>
        <v>-</v>
      </c>
      <c r="O79" s="162"/>
      <c r="P79" s="190" t="str">
        <f>IF(COUNTIFS(Table16[ประเภท],P69,Table16[ฝ่าย],A79,Table16[สัปดาห์แจ้งซ่อม],"1")=0,"-",COUNTIFS(Table16[ประเภท],P69,Table16[ฝ่าย],A79,Table16[สัปดาห์แจ้งซ่อม],"1"))</f>
        <v>-</v>
      </c>
    </row>
    <row r="80" spans="1:16" ht="15" thickBot="1">
      <c r="A80" s="47" t="s">
        <v>64</v>
      </c>
      <c r="B80" s="48">
        <f>COUNTIFS(Table16[ฝ่าย],A80,Table16[สัปดาห์แจ้งซ่อม],1)</f>
        <v>0</v>
      </c>
      <c r="C80" s="50">
        <f>B80/B84</f>
        <v>0</v>
      </c>
      <c r="D80" s="162" t="str">
        <f>IF(COUNTIFS(Table16[ประเภท],D69,Table16[ฝ่าย],A80,Table16[สัปดาห์แจ้งซ่อม],"1")=0,"-",COUNTIFS(Table16[ประเภท],D69,Table16[ฝ่าย],A80,Table16[สัปดาห์แจ้งซ่อม],"1"))</f>
        <v>-</v>
      </c>
      <c r="E80" s="162" t="str">
        <f>IF(COUNTIFS(Table16[ประเภท],E69,Table16[ฝ่าย],A80,Table16[สัปดาห์แจ้งซ่อม],"1")=0,"-",COUNTIFS(Table16[ประเภท],E69,Table16[ฝ่าย],A80,Table16[สัปดาห์แจ้งซ่อม],"1"))</f>
        <v>-</v>
      </c>
      <c r="F80" s="162" t="str">
        <f>IF(COUNTIFS(Table16[ประเภท],F69,Table16[ฝ่าย],A80,Table16[สัปดาห์แจ้งซ่อม],"1")=0,"-",COUNTIFS(Table16[ประเภท],F69,Table16[ฝ่าย],A80,Table16[สัปดาห์แจ้งซ่อม],"1"))</f>
        <v>-</v>
      </c>
      <c r="G80" s="162" t="str">
        <f>IF(COUNTIFS(Table16[ประเภท],G69,Table16[ฝ่าย],A80,Table16[สัปดาห์แจ้งซ่อม],"1")=0,"-",COUNTIFS(Table16[ประเภท],G69,Table16[ฝ่าย],A80,Table16[สัปดาห์แจ้งซ่อม],"1"))</f>
        <v>-</v>
      </c>
      <c r="H80" s="162" t="str">
        <f>IF(COUNTIFS(Table16[ประเภท],H69,Table16[ฝ่าย],A80,Table16[สัปดาห์แจ้งซ่อม],"1")=0,"-",COUNTIFS(Table16[ประเภท],H69,Table16[ฝ่าย],A80,Table16[สัปดาห์แจ้งซ่อม],"1"))</f>
        <v>-</v>
      </c>
      <c r="I80" s="162" t="str">
        <f>IF(COUNTIFS(Table16[ประเภท],I69,Table16[ฝ่าย],A80,Table16[สัปดาห์แจ้งซ่อม],"1")=0,"-",COUNTIFS(Table16[ประเภท],I69,Table16[ฝ่าย],A80,Table16[สัปดาห์แจ้งซ่อม],"1"))</f>
        <v>-</v>
      </c>
      <c r="J80" s="162" t="str">
        <f>IF(COUNTIFS(Table16[ประเภท],J69,Table16[ฝ่าย],A80,Table16[สัปดาห์แจ้งซ่อม],"1")=0,"-",COUNTIFS(Table16[ประเภท],J69,Table16[ฝ่าย],A80,Table16[สัปดาห์แจ้งซ่อม],"1"))</f>
        <v>-</v>
      </c>
      <c r="K80" s="162" t="str">
        <f>IF(COUNTIFS(Table16[ประเภท],K69,Table16[ฝ่าย],A80,Table16[สัปดาห์แจ้งซ่อม],"1")=0,"-",COUNTIFS(Table16[ประเภท],K69,Table16[ฝ่าย],A80,Table16[สัปดาห์แจ้งซ่อม],"1"))</f>
        <v>-</v>
      </c>
      <c r="L80" s="162" t="str">
        <f>IF(COUNTIFS(Table16[ประเภท],L69,Table16[ฝ่าย],A80,Table16[สัปดาห์แจ้งซ่อม],"1")=0,"-",COUNTIFS(Table16[ประเภท],L69,Table16[ฝ่าย],A80,Table16[สัปดาห์แจ้งซ่อม],"1"))</f>
        <v>-</v>
      </c>
      <c r="M80" s="162" t="str">
        <f>IF(COUNTIFS(Table16[ประเภท],M69,Table16[ฝ่าย],A80,Table16[สัปดาห์แจ้งซ่อม],"1")=0,"-",COUNTIFS(Table16[ประเภท],M69,Table16[ฝ่าย],A80,Table16[สัปดาห์แจ้งซ่อม],"1"))</f>
        <v>-</v>
      </c>
      <c r="N80" s="162" t="str">
        <f>IF(COUNTIFS(Table16[ประเภท],N69,Table16[ฝ่าย],A80,Table16[สัปดาห์แจ้งซ่อม],"1")=0,"-",COUNTIFS(Table16[ประเภท],N69,Table16[ฝ่าย],A80,Table16[สัปดาห์แจ้งซ่อม],"1"))</f>
        <v>-</v>
      </c>
      <c r="O80" s="162"/>
      <c r="P80" s="190" t="str">
        <f>IF(COUNTIFS(Table16[ประเภท],P69,Table16[ฝ่าย],A80,Table16[สัปดาห์แจ้งซ่อม],"1")=0,"-",COUNTIFS(Table16[ประเภท],P69,Table16[ฝ่าย],A80,Table16[สัปดาห์แจ้งซ่อม],"1"))</f>
        <v>-</v>
      </c>
    </row>
    <row r="81" spans="1:16" ht="15" thickBot="1">
      <c r="A81" s="47" t="s">
        <v>65</v>
      </c>
      <c r="B81" s="48">
        <f>COUNTIFS(Table16[ฝ่าย],A81,Table16[สัปดาห์แจ้งซ่อม],1)</f>
        <v>0</v>
      </c>
      <c r="C81" s="50">
        <f>B81/B84</f>
        <v>0</v>
      </c>
      <c r="D81" s="162" t="str">
        <f>IF(COUNTIFS(Table16[ประเภท],D69,Table16[ฝ่าย],A81,Table16[สัปดาห์แจ้งซ่อม],"1")=0,"-",COUNTIFS(Table16[ประเภท],D69,Table16[ฝ่าย],A81,Table16[สัปดาห์แจ้งซ่อม],"1"))</f>
        <v>-</v>
      </c>
      <c r="E81" s="162" t="str">
        <f>IF(COUNTIFS(Table16[ประเภท],E69,Table16[ฝ่าย],A81,Table16[สัปดาห์แจ้งซ่อม],"1")=0,"-",COUNTIFS(Table16[ประเภท],E69,Table16[ฝ่าย],A81,Table16[สัปดาห์แจ้งซ่อม],"1"))</f>
        <v>-</v>
      </c>
      <c r="F81" s="162" t="str">
        <f>IF(COUNTIFS(Table16[ประเภท],F69,Table16[ฝ่าย],A81,Table16[สัปดาห์แจ้งซ่อม],"1")=0,"-",COUNTIFS(Table16[ประเภท],F69,Table16[ฝ่าย],A81,Table16[สัปดาห์แจ้งซ่อม],"1"))</f>
        <v>-</v>
      </c>
      <c r="G81" s="162" t="str">
        <f>IF(COUNTIFS(Table16[ประเภท],G69,Table16[ฝ่าย],A81,Table16[สัปดาห์แจ้งซ่อม],"1")=0,"-",COUNTIFS(Table16[ประเภท],G69,Table16[ฝ่าย],A81,Table16[สัปดาห์แจ้งซ่อม],"1"))</f>
        <v>-</v>
      </c>
      <c r="H81" s="162" t="str">
        <f>IF(COUNTIFS(Table16[ประเภท],H69,Table16[ฝ่าย],A81,Table16[สัปดาห์แจ้งซ่อม],"1")=0,"-",COUNTIFS(Table16[ประเภท],H69,Table16[ฝ่าย],A81,Table16[สัปดาห์แจ้งซ่อม],"1"))</f>
        <v>-</v>
      </c>
      <c r="I81" s="162" t="str">
        <f>IF(COUNTIFS(Table16[ประเภท],I69,Table16[ฝ่าย],A81,Table16[สัปดาห์แจ้งซ่อม],"1")=0,"-",COUNTIFS(Table16[ประเภท],I69,Table16[ฝ่าย],A81,Table16[สัปดาห์แจ้งซ่อม],"1"))</f>
        <v>-</v>
      </c>
      <c r="J81" s="162" t="str">
        <f>IF(COUNTIFS(Table16[ประเภท],J69,Table16[ฝ่าย],A81,Table16[สัปดาห์แจ้งซ่อม],"1")=0,"-",COUNTIFS(Table16[ประเภท],J69,Table16[ฝ่าย],A81,Table16[สัปดาห์แจ้งซ่อม],"1"))</f>
        <v>-</v>
      </c>
      <c r="K81" s="162" t="str">
        <f>IF(COUNTIFS(Table16[ประเภท],K69,Table16[ฝ่าย],A81,Table16[สัปดาห์แจ้งซ่อม],"1")=0,"-",COUNTIFS(Table16[ประเภท],K69,Table16[ฝ่าย],A81,Table16[สัปดาห์แจ้งซ่อม],"1"))</f>
        <v>-</v>
      </c>
      <c r="L81" s="162" t="str">
        <f>IF(COUNTIFS(Table16[ประเภท],L69,Table16[ฝ่าย],A81,Table16[สัปดาห์แจ้งซ่อม],"1")=0,"-",COUNTIFS(Table16[ประเภท],L69,Table16[ฝ่าย],A81,Table16[สัปดาห์แจ้งซ่อม],"1"))</f>
        <v>-</v>
      </c>
      <c r="M81" s="162" t="str">
        <f>IF(COUNTIFS(Table16[ประเภท],M69,Table16[ฝ่าย],A81,Table16[สัปดาห์แจ้งซ่อม],"1")=0,"-",COUNTIFS(Table16[ประเภท],M69,Table16[ฝ่าย],A81,Table16[สัปดาห์แจ้งซ่อม],"1"))</f>
        <v>-</v>
      </c>
      <c r="N81" s="162" t="str">
        <f>IF(COUNTIFS(Table16[ประเภท],N69,Table16[ฝ่าย],A81,Table16[สัปดาห์แจ้งซ่อม],"1")=0,"-",COUNTIFS(Table16[ประเภท],N69,Table16[ฝ่าย],A81,Table16[สัปดาห์แจ้งซ่อม],"1"))</f>
        <v>-</v>
      </c>
      <c r="O81" s="162"/>
      <c r="P81" s="190" t="str">
        <f>IF(COUNTIFS(Table16[ประเภท],P69,Table16[ฝ่าย],A81,Table16[สัปดาห์แจ้งซ่อม],"1")=0,"-",COUNTIFS(Table16[ประเภท],P69,Table16[ฝ่าย],A81,Table16[สัปดาห์แจ้งซ่อม],"1"))</f>
        <v>-</v>
      </c>
    </row>
    <row r="82" spans="1:16" ht="15" thickBot="1">
      <c r="A82" s="47" t="s">
        <v>66</v>
      </c>
      <c r="B82" s="48">
        <f>COUNTIFS(Table16[ฝ่าย],A82,Table16[สัปดาห์แจ้งซ่อม],1)</f>
        <v>0</v>
      </c>
      <c r="C82" s="50">
        <f>B82/B84</f>
        <v>0</v>
      </c>
      <c r="D82" s="162" t="str">
        <f>IF(COUNTIFS(Table16[ประเภท],D69,Table16[ฝ่าย],A82,Table16[สัปดาห์แจ้งซ่อม],"1")=0,"-",COUNTIFS(Table16[ประเภท],D69,Table16[ฝ่าย],A79,Table16[สัปดาห์แจ้งซ่อม],"1"))</f>
        <v>-</v>
      </c>
      <c r="E82" s="162" t="str">
        <f>IF(COUNTIFS(Table16[ประเภท],E69,Table16[ฝ่าย],A82,Table16[สัปดาห์แจ้งซ่อม],"1")=0,"-",COUNTIFS(Table16[ประเภท],E69,Table16[ฝ่าย],A79,Table16[สัปดาห์แจ้งซ่อม],"1"))</f>
        <v>-</v>
      </c>
      <c r="F82" s="162" t="str">
        <f>IF(COUNTIFS(Table16[ประเภท],F69,Table16[ฝ่าย],A82,Table16[สัปดาห์แจ้งซ่อม],"1")=0,"-",COUNTIFS(Table16[ประเภท],F69,Table16[ฝ่าย],A82,Table16[สัปดาห์แจ้งซ่อม],"1"))</f>
        <v>-</v>
      </c>
      <c r="G82" s="162" t="str">
        <f>IF(COUNTIFS(Table16[ประเภท],G69,Table16[ฝ่าย],A82,Table16[สัปดาห์แจ้งซ่อม],"1")=0,"-",COUNTIFS(Table16[ประเภท],G69,Table16[ฝ่าย],A82,Table16[สัปดาห์แจ้งซ่อม],"1"))</f>
        <v>-</v>
      </c>
      <c r="H82" s="162" t="str">
        <f>IF(COUNTIFS(Table16[ประเภท],H69,Table16[ฝ่าย],A82,Table16[สัปดาห์แจ้งซ่อม],"1")=0,"-",COUNTIFS(Table16[ประเภท],H69,Table16[ฝ่าย],A82,Table16[สัปดาห์แจ้งซ่อม],"1"))</f>
        <v>-</v>
      </c>
      <c r="I82" s="162" t="str">
        <f>IF(COUNTIFS(Table16[ประเภท],I69,Table16[ฝ่าย],A82,Table16[สัปดาห์แจ้งซ่อม],"1")=0,"-",COUNTIFS(Table16[ประเภท],I69,Table16[ฝ่าย],A82,Table16[สัปดาห์แจ้งซ่อม],"1"))</f>
        <v>-</v>
      </c>
      <c r="J82" s="162" t="str">
        <f>IF(COUNTIFS(Table16[ประเภท],J69,Table16[ฝ่าย],A82,Table16[สัปดาห์แจ้งซ่อม],"1")=0,"-",COUNTIFS(Table16[ประเภท],J69,Table16[ฝ่าย],A82,Table16[สัปดาห์แจ้งซ่อม],"1"))</f>
        <v>-</v>
      </c>
      <c r="K82" s="162" t="str">
        <f>IF(COUNTIFS(Table16[ประเภท],K69,Table16[ฝ่าย],A82,Table16[สัปดาห์แจ้งซ่อม],"1")=0,"-",COUNTIFS(Table16[ประเภท],K69,Table16[ฝ่าย],A82,Table16[สัปดาห์แจ้งซ่อม],"1"))</f>
        <v>-</v>
      </c>
      <c r="L82" s="162" t="str">
        <f>IF(COUNTIFS(Table16[ประเภท],L69,Table16[ฝ่าย],A82,Table16[สัปดาห์แจ้งซ่อม],"1")=0,"-",COUNTIFS(Table16[ประเภท],L69,Table16[ฝ่าย],A82,Table16[สัปดาห์แจ้งซ่อม],"1"))</f>
        <v>-</v>
      </c>
      <c r="M82" s="162" t="str">
        <f>IF(COUNTIFS(Table16[ประเภท],M69,Table16[ฝ่าย],A82,Table16[สัปดาห์แจ้งซ่อม],"1")=0,"-",COUNTIFS(Table16[ประเภท],M69,Table16[ฝ่าย],A82,Table16[สัปดาห์แจ้งซ่อม],"1"))</f>
        <v>-</v>
      </c>
      <c r="N82" s="162" t="str">
        <f>IF(COUNTIFS(Table16[ประเภท],N69,Table16[ฝ่าย],A82,Table16[สัปดาห์แจ้งซ่อม],"1")=0,"-",COUNTIFS(Table16[ประเภท],N69,Table16[ฝ่าย],A82,Table16[สัปดาห์แจ้งซ่อม],"1"))</f>
        <v>-</v>
      </c>
      <c r="O82" s="162"/>
      <c r="P82" s="190" t="str">
        <f>IF(COUNTIFS(Table16[ประเภท],P69,Table16[ฝ่าย],A82,Table16[สัปดาห์แจ้งซ่อม],"1")=0,"-",COUNTIFS(Table16[ประเภท],P69,Table16[ฝ่าย],A82,Table16[สัปดาห์แจ้งซ่อม],"1"))</f>
        <v>-</v>
      </c>
    </row>
    <row r="83" spans="1:16" ht="15" thickBot="1">
      <c r="A83" s="47" t="s">
        <v>120</v>
      </c>
      <c r="B83" s="48">
        <f>COUNTIFS(Table16[ฝ่าย],A83,Table16[สัปดาห์แจ้งซ่อม],1)</f>
        <v>8</v>
      </c>
      <c r="C83" s="50">
        <f>B83/B85</f>
        <v>0.8</v>
      </c>
      <c r="D83" s="162" t="str">
        <f>IF(COUNTIFS(Table16[ประเภท],D69,Table16[ฝ่าย],A83,Table16[สัปดาห์แจ้งซ่อม],"1")=0,"-",COUNTIFS(Table16[ประเภท],D69,Table16[ฝ่าย],A83,Table16[สัปดาห์แจ้งซ่อม],"1"))</f>
        <v>-</v>
      </c>
      <c r="E83" s="162" t="str">
        <f>IF(COUNTIFS(Table16[ประเภท],E69,Table16[ฝ่าย],A83,Table16[สัปดาห์แจ้งซ่อม],"1")=0,"-",COUNTIFS(Table16[ประเภท],E69,Table16[ฝ่าย],A83,Table16[สัปดาห์แจ้งซ่อม],"1"))</f>
        <v>-</v>
      </c>
      <c r="F83" s="162">
        <f>IF(COUNTIFS(Table16[ประเภท],F69,Table16[ฝ่าย],A83,Table16[สัปดาห์แจ้งซ่อม],"1")=0,"-",COUNTIFS(Table16[ประเภท],F69,Table16[ฝ่าย],A83,Table16[สัปดาห์แจ้งซ่อม],"1"))</f>
        <v>1</v>
      </c>
      <c r="G83" s="162" t="str">
        <f>IF(COUNTIFS(Table16[ประเภท],G69,Table16[ฝ่าย],A83,Table16[สัปดาห์แจ้งซ่อม],"1")=0,"-",COUNTIFS(Table16[ประเภท],G69,Table16[ฝ่าย],A83,Table16[สัปดาห์แจ้งซ่อม],"1"))</f>
        <v>-</v>
      </c>
      <c r="H83" s="162">
        <f>IF(COUNTIFS(Table16[ประเภท],H69,Table16[ฝ่าย],A83,Table16[สัปดาห์แจ้งซ่อม],"1")=0,"-",COUNTIFS(Table16[ประเภท],H69,Table16[ฝ่าย],A83,Table16[สัปดาห์แจ้งซ่อม],"1"))</f>
        <v>5</v>
      </c>
      <c r="I83" s="162" t="str">
        <f>IF(COUNTIFS(Table16[ประเภท],I69,Table16[ฝ่าย],A83,Table16[สัปดาห์แจ้งซ่อม],"1")=0,"-",COUNTIFS(Table16[ประเภท],I69,Table16[ฝ่าย],A83,Table16[สัปดาห์แจ้งซ่อม],"1"))</f>
        <v>-</v>
      </c>
      <c r="J83" s="162" t="str">
        <f>IF(COUNTIFS(Table16[ประเภท],J69,Table16[ฝ่าย],A83,Table16[สัปดาห์แจ้งซ่อม],"1")=0,"-",COUNTIFS(Table16[ประเภท],J69,Table16[ฝ่าย],A83,Table16[สัปดาห์แจ้งซ่อม],"1"))</f>
        <v>-</v>
      </c>
      <c r="K83" s="162" t="str">
        <f>IF(COUNTIFS(Table16[ประเภท],K69,Table16[ฝ่าย],A83,Table16[สัปดาห์แจ้งซ่อม],"1")=0,"-",COUNTIFS(Table16[ประเภท],K69,Table16[ฝ่าย],A83,Table16[สัปดาห์แจ้งซ่อม],"1"))</f>
        <v>-</v>
      </c>
      <c r="L83" s="162" t="str">
        <f>IF(COUNTIFS(Table16[ประเภท],L69,Table16[ฝ่าย],A83,Table16[สัปดาห์แจ้งซ่อม],"1")=0,"-",COUNTIFS(Table16[ประเภท],L69,Table16[ฝ่าย],A83,Table16[สัปดาห์แจ้งซ่อม],"1"))</f>
        <v>-</v>
      </c>
      <c r="M83" s="162" t="str">
        <f>IF(COUNTIFS(Table16[ประเภท],M69,Table16[ฝ่าย],A83,Table16[สัปดาห์แจ้งซ่อม],"1")=0,"-",COUNTIFS(Table16[ประเภท],M69,Table16[ฝ่าย],A83,Table16[สัปดาห์แจ้งซ่อม],"1"))</f>
        <v>-</v>
      </c>
      <c r="N83" s="162">
        <f>IF(COUNTIFS(Table16[ประเภท],N69,Table16[ฝ่าย],A83,Table16[สัปดาห์แจ้งซ่อม],"1")=0,"-",COUNTIFS(Table16[ประเภท],N69,Table16[ฝ่าย],A83,Table16[สัปดาห์แจ้งซ่อม],"1"))</f>
        <v>2</v>
      </c>
      <c r="O83" s="162"/>
      <c r="P83" s="190" t="str">
        <f>IF(COUNTIFS(Table16[ประเภท],P69,Table16[ฝ่าย],A83,Table16[สัปดาห์แจ้งซ่อม],"1")=0,"-",COUNTIFS(Table16[ประเภท],P69,Table16[ฝ่าย],A83,Table16[สัปดาห์แจ้งซ่อม],"1"))</f>
        <v>-</v>
      </c>
    </row>
    <row r="84" spans="1:16" ht="15" thickBot="1">
      <c r="A84" s="51" t="s">
        <v>67</v>
      </c>
      <c r="B84" s="52">
        <f>SUM(B70:B83)</f>
        <v>62</v>
      </c>
      <c r="C84" s="53">
        <f t="shared" ref="C84" si="3">SUM(C70:C82)</f>
        <v>0.87096774193548387</v>
      </c>
      <c r="D84" s="163">
        <f>SUM(D70:D83)</f>
        <v>10</v>
      </c>
      <c r="E84" s="163">
        <f t="shared" ref="E84:P84" si="4">SUM(E70:E83)</f>
        <v>6</v>
      </c>
      <c r="F84" s="163">
        <f t="shared" si="4"/>
        <v>4</v>
      </c>
      <c r="G84" s="163">
        <f t="shared" si="4"/>
        <v>0</v>
      </c>
      <c r="H84" s="163">
        <f t="shared" si="4"/>
        <v>10</v>
      </c>
      <c r="I84" s="163">
        <f t="shared" si="4"/>
        <v>1</v>
      </c>
      <c r="J84" s="163">
        <f t="shared" si="4"/>
        <v>5</v>
      </c>
      <c r="K84" s="163">
        <f t="shared" si="4"/>
        <v>12</v>
      </c>
      <c r="L84" s="163">
        <f t="shared" si="4"/>
        <v>1</v>
      </c>
      <c r="M84" s="163">
        <f t="shared" si="4"/>
        <v>2</v>
      </c>
      <c r="N84" s="163">
        <f t="shared" si="4"/>
        <v>5</v>
      </c>
      <c r="O84" s="163">
        <f t="shared" si="4"/>
        <v>2</v>
      </c>
      <c r="P84" s="163">
        <f t="shared" si="4"/>
        <v>4</v>
      </c>
    </row>
    <row r="85" spans="1:16" ht="15" thickBot="1">
      <c r="A85" s="54" t="s">
        <v>68</v>
      </c>
      <c r="B85" s="55">
        <f>COUNTIFS(Table16[สถานะ],"เรียบร้อย",Table16[สัปดาห์ที่แก้ไข],1)</f>
        <v>10</v>
      </c>
      <c r="C85" s="56"/>
      <c r="D85" s="2"/>
      <c r="E85" s="2"/>
      <c r="F85" s="2"/>
      <c r="G85" s="2"/>
      <c r="H85" s="2"/>
      <c r="I85" s="2"/>
      <c r="J85" s="2"/>
      <c r="K85" s="2"/>
      <c r="L85" s="2"/>
    </row>
    <row r="86" spans="1:16" ht="15" thickBot="1">
      <c r="A86" s="57" t="s">
        <v>69</v>
      </c>
      <c r="B86" s="58">
        <f>COUNTIFS(Table16[สถานะ],"กำลังดำเนินการ",Table16[สัปดาห์แจ้งซ่อม],1)</f>
        <v>0</v>
      </c>
      <c r="C86" s="56"/>
      <c r="D86" s="2"/>
      <c r="E86" s="2"/>
      <c r="F86" s="2"/>
      <c r="G86" s="2"/>
      <c r="H86" s="2"/>
      <c r="I86" s="2"/>
      <c r="J86" s="2"/>
      <c r="K86" s="2"/>
      <c r="L86" s="2"/>
    </row>
    <row r="87" spans="1:16" ht="15" thickBot="1">
      <c r="A87" s="59" t="s">
        <v>3</v>
      </c>
      <c r="B87" s="60">
        <f>COUNTIFS(Table16[สถานะ],"รอดำเนินการ",Table16[สัปดาห์แจ้งซ่อม],1)</f>
        <v>0</v>
      </c>
      <c r="C87" s="56"/>
      <c r="D87" s="2"/>
      <c r="E87" s="2"/>
      <c r="F87" s="2"/>
      <c r="G87" s="2"/>
      <c r="H87" s="2"/>
      <c r="I87" s="2"/>
      <c r="J87" s="2"/>
      <c r="K87" s="2"/>
      <c r="L87" s="2"/>
    </row>
    <row r="88" spans="1:16" ht="16.2" thickBot="1">
      <c r="A88" s="61" t="s">
        <v>70</v>
      </c>
      <c r="B88" s="62">
        <f>COUNTIFS(Table16[สถานะ],"โอนย้าย",Table16[สัปดาห์แจ้งซ่อม],1)</f>
        <v>47</v>
      </c>
    </row>
    <row r="89" spans="1:16" ht="30" customHeight="1" thickBot="1">
      <c r="A89" s="312" t="s">
        <v>369</v>
      </c>
      <c r="B89" s="303"/>
      <c r="C89" s="303"/>
      <c r="D89" s="303"/>
      <c r="E89" s="303"/>
      <c r="F89" s="303"/>
      <c r="G89" s="303"/>
      <c r="H89" s="303"/>
      <c r="I89" s="303"/>
      <c r="J89" s="303"/>
      <c r="K89" s="303"/>
      <c r="L89" s="303"/>
      <c r="M89" s="303"/>
      <c r="N89" s="303"/>
      <c r="O89" s="303"/>
      <c r="P89" s="303"/>
    </row>
    <row r="90" spans="1:16" ht="18.600000000000001" thickBot="1">
      <c r="A90" s="304" t="s">
        <v>368</v>
      </c>
      <c r="B90" s="304" t="s">
        <v>42</v>
      </c>
      <c r="C90" s="306" t="s">
        <v>43</v>
      </c>
      <c r="D90" s="308" t="s">
        <v>44</v>
      </c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</row>
    <row r="91" spans="1:16" ht="15" thickBot="1">
      <c r="A91" s="305"/>
      <c r="B91" s="305"/>
      <c r="C91" s="307"/>
      <c r="D91" s="43" t="s">
        <v>45</v>
      </c>
      <c r="E91" s="43" t="s">
        <v>46</v>
      </c>
      <c r="F91" s="44" t="s">
        <v>47</v>
      </c>
      <c r="G91" s="44" t="s">
        <v>48</v>
      </c>
      <c r="H91" s="44" t="s">
        <v>49</v>
      </c>
      <c r="I91" s="44" t="s">
        <v>50</v>
      </c>
      <c r="J91" s="44" t="s">
        <v>51</v>
      </c>
      <c r="K91" s="44" t="s">
        <v>52</v>
      </c>
      <c r="L91" s="45" t="s">
        <v>53</v>
      </c>
      <c r="M91" s="46" t="s">
        <v>72</v>
      </c>
      <c r="N91" s="46" t="s">
        <v>117</v>
      </c>
      <c r="O91" s="189" t="s">
        <v>376</v>
      </c>
      <c r="P91" s="189" t="s">
        <v>357</v>
      </c>
    </row>
    <row r="92" spans="1:16" ht="15" thickBot="1">
      <c r="A92" s="47" t="s">
        <v>54</v>
      </c>
      <c r="B92" s="48">
        <f>COUNTIFS(Table16[ฝ่าย],A92,Table16[สัปดาห์แจ้งซ่อม],2)</f>
        <v>10</v>
      </c>
      <c r="C92" s="49">
        <f>B92/B106</f>
        <v>0.7142857142857143</v>
      </c>
      <c r="D92" s="44" t="str">
        <f>IF(COUNTIFS(Table16[ประเภท],D91,Table16[ฝ่าย],A92,Table16[สัปดาห์แจ้งซ่อม],"2")=0,"-",COUNTIFS(Table16[ประเภท],D91,Table16[ฝ่าย],A92,Table16[สัปดาห์แจ้งซ่อม],"2"))</f>
        <v>-</v>
      </c>
      <c r="E92" s="44">
        <f>IF(COUNTIFS(Table16[ประเภท],E91,Table16[ฝ่าย],A92,Table16[สัปดาห์แจ้งซ่อม],"2")=0,"-",COUNTIFS(Table16[ประเภท],E91,Table16[ฝ่าย],A92,Table16[สัปดาห์แจ้งซ่อม],"2"))</f>
        <v>1</v>
      </c>
      <c r="F92" s="44">
        <f>IF(COUNTIFS(Table16[ประเภท],F91,Table16[ฝ่าย],A92,Table16[สัปดาห์แจ้งซ่อม],"2")=0,"-",COUNTIFS(Table16[ประเภท],F91,Table16[ฝ่าย],A92,Table16[สัปดาห์แจ้งซ่อม],"2"))</f>
        <v>3</v>
      </c>
      <c r="G92" s="44">
        <f>IF(COUNTIFS(Table16[ประเภท],G91,Table16[ฝ่าย],A92,Table16[สัปดาห์แจ้งซ่อม],"2")=0,"-",COUNTIFS(Table16[ประเภท],G91,Table16[ฝ่าย],A92,Table16[สัปดาห์แจ้งซ่อม],"2"))</f>
        <v>1</v>
      </c>
      <c r="H92" s="44" t="str">
        <f>IF(COUNTIFS(Table16[ประเภท],H91,Table16[ฝ่าย],A92,Table16[สัปดาห์แจ้งซ่อม],"2")=0,"-",COUNTIFS(Table16[ประเภท],H91,Table16[ฝ่าย],A92,Table16[สัปดาห์แจ้งซ่อม],"2"))</f>
        <v>-</v>
      </c>
      <c r="I92" s="44" t="str">
        <f>IF(COUNTIFS(Table16[ประเภท],I91,Table16[ฝ่าย],A92,Table16[สัปดาห์แจ้งซ่อม],"2")=0,"-",COUNTIFS(Table16[ประเภท],I91,Table16[ฝ่าย],A92,Table16[สัปดาห์แจ้งซ่อม],"2"))</f>
        <v>-</v>
      </c>
      <c r="J92" s="44">
        <f>IF(COUNTIFS(Table16[ประเภท],J91,Table16[ฝ่าย],A92,Table16[สัปดาห์แจ้งซ่อม],"2")=0,"-",COUNTIFS(Table16[ประเภท],J91,Table16[ฝ่าย],A92,Table16[สัปดาห์แจ้งซ่อม],"2"))</f>
        <v>2</v>
      </c>
      <c r="K92" s="44">
        <f>IF(COUNTIFS(Table16[ประเภท],K91,Table16[ฝ่าย],A92,Table16[สัปดาห์แจ้งซ่อม],"2")=0,"-",COUNTIFS(Table16[ประเภท],K91,Table16[ฝ่าย],A92,Table16[สัปดาห์แจ้งซ่อม],"2"))</f>
        <v>2</v>
      </c>
      <c r="L92" s="44">
        <f>IF(COUNTIFS(Table16[ประเภท],L91,Table16[ฝ่าย],A92,Table16[สัปดาห์แจ้งซ่อม],"2")=0,"-",COUNTIFS(Table16[ประเภท],L91,Table16[ฝ่าย],A92,Table16[สัปดาห์แจ้งซ่อม],"2"))</f>
        <v>1</v>
      </c>
      <c r="M92" s="44" t="str">
        <f>IF(COUNTIFS(Table16[ประเภท],M91,Table16[ฝ่าย],A92,Table16[สัปดาห์แจ้งซ่อม],"2")=0,"-",COUNTIFS(Table16[ประเภท],M91,Table16[ฝ่าย],A92,Table16[สัปดาห์แจ้งซ่อม],"2"))</f>
        <v>-</v>
      </c>
      <c r="N92" s="44" t="str">
        <f>IF(COUNTIFS(Table16[ประเภท],N91,Table16[ฝ่าย],A92,Table16[สัปดาห์แจ้งซ่อม],"2")=0,"-",COUNTIFS(Table16[ประเภท],N91,Table16[ฝ่าย],A92,Table16[สัปดาห์แจ้งซ่อม],"2"))</f>
        <v>-</v>
      </c>
      <c r="O92" s="162" t="str">
        <f>IF(COUNTIFS(Table16[ประเภท],O91,Table16[ฝ่าย],A92,Table16[สัปดาห์แจ้งซ่อม],"2")=0,"-",COUNTIFS(Table16[ประเภท],O91,Table16[ฝ่าย],A92,Table16[สัปดาห์แจ้งซ่อม],"2"))</f>
        <v>-</v>
      </c>
      <c r="P92" s="190" t="str">
        <f>IF(COUNTIFS(Table16[ประเภท],P91,Table16[ฝ่าย],A92,Table16[สัปดาห์แจ้งซ่อม],"2")=0,"-",COUNTIFS(Table16[ประเภท],P91,Table16[ฝ่าย],A92,Table16[สัปดาห์แจ้งซ่อม],"2"))</f>
        <v>-</v>
      </c>
    </row>
    <row r="93" spans="1:16" ht="15" thickBot="1">
      <c r="A93" s="47" t="s">
        <v>55</v>
      </c>
      <c r="B93" s="48">
        <f>COUNTIFS(Table16[ฝ่าย],A93,Table16[สัปดาห์แจ้งซ่อม],2)</f>
        <v>1</v>
      </c>
      <c r="C93" s="49">
        <f>B93/B106</f>
        <v>7.1428571428571425E-2</v>
      </c>
      <c r="D93" s="44" t="str">
        <f>IF(COUNTIFS(Table16[ประเภท],D91,Table16[ฝ่าย],A93,Table16[สัปดาห์แจ้งซ่อม],"2")=0,"-",COUNTIFS(Table16[ประเภท],D91,Table16[ฝ่าย],A93,Table16[สัปดาห์แจ้งซ่อม],"2"))</f>
        <v>-</v>
      </c>
      <c r="E93" s="44">
        <f>IF(COUNTIFS(Table16[ประเภท],E91,Table16[ฝ่าย],A93,Table16[สัปดาห์แจ้งซ่อม],"2")=0,"-",COUNTIFS(Table16[ประเภท],E91,Table16[ฝ่าย],A93,Table16[สัปดาห์แจ้งซ่อม],"2"))</f>
        <v>1</v>
      </c>
      <c r="F93" s="44" t="str">
        <f>IF(COUNTIFS(Table16[ประเภท],F91,Table16[ฝ่าย],A93,Table16[สัปดาห์แจ้งซ่อม],"2")=0,"-",COUNTIFS(Table16[ประเภท],F91,Table16[ฝ่าย],A93,Table16[สัปดาห์แจ้งซ่อม],"2"))</f>
        <v>-</v>
      </c>
      <c r="G93" s="44" t="str">
        <f>IF(COUNTIFS(Table16[ประเภท],G91,Table16[ฝ่าย],A93,Table16[สัปดาห์แจ้งซ่อม],"2")=0,"-",COUNTIFS(Table16[ประเภท],G91,Table16[ฝ่าย],A93,Table16[สัปดาห์แจ้งซ่อม],"2"))</f>
        <v>-</v>
      </c>
      <c r="H93" s="44" t="str">
        <f>IF(COUNTIFS(Table16[ประเภท],H91,Table16[ฝ่าย],A93,Table16[สัปดาห์แจ้งซ่อม],"2")=0,"-",COUNTIFS(Table16[ประเภท],H91,Table16[ฝ่าย],A93,Table16[สัปดาห์แจ้งซ่อม],"2"))</f>
        <v>-</v>
      </c>
      <c r="I93" s="44" t="str">
        <f>IF(COUNTIFS(Table16[ประเภท],I91,Table16[ฝ่าย],A93,Table16[สัปดาห์แจ้งซ่อม],"2")=0,"-",COUNTIFS(Table16[ประเภท],I91,Table16[ฝ่าย],A93,Table16[สัปดาห์แจ้งซ่อม],"2"))</f>
        <v>-</v>
      </c>
      <c r="J93" s="44" t="str">
        <f>IF(COUNTIFS(Table16[ประเภท],J91,Table16[ฝ่าย],A93,Table16[สัปดาห์แจ้งซ่อม],"2")=0,"-",COUNTIFS(Table16[ประเภท],J91,Table16[ฝ่าย],A93,Table16[สัปดาห์แจ้งซ่อม],"2"))</f>
        <v>-</v>
      </c>
      <c r="K93" s="44" t="str">
        <f>IF(COUNTIFS(Table16[ประเภท],K91,Table16[ฝ่าย],A93,Table16[สัปดาห์แจ้งซ่อม],"2")=0,"-",COUNTIFS(Table16[ประเภท],K91,Table16[ฝ่าย],A93,Table16[สัปดาห์แจ้งซ่อม],"2"))</f>
        <v>-</v>
      </c>
      <c r="L93" s="44" t="str">
        <f>IF(COUNTIFS(Table16[ประเภท],L91,Table16[ฝ่าย],A93,Table16[สัปดาห์แจ้งซ่อม],"2")=0,"-",COUNTIFS(Table16[ประเภท],L91,Table16[ฝ่าย],A93,Table16[สัปดาห์แจ้งซ่อม],"2"))</f>
        <v>-</v>
      </c>
      <c r="M93" s="44" t="str">
        <f>IF(COUNTIFS(Table16[ประเภท],M91,Table16[ฝ่าย],A93,Table16[สัปดาห์แจ้งซ่อม],"2")=0,"-",COUNTIFS(Table16[ประเภท],M91,Table16[ฝ่าย],A93,Table16[สัปดาห์แจ้งซ่อม],"2"))</f>
        <v>-</v>
      </c>
      <c r="N93" s="44" t="str">
        <f>IF(COUNTIFS(Table16[ประเภท],N91,Table16[ฝ่าย],A93,Table16[สัปดาห์แจ้งซ่อม],"2")=0,"-",COUNTIFS(Table16[ประเภท],N91,Table16[ฝ่าย],A93,Table16[สัปดาห์แจ้งซ่อม],"2"))</f>
        <v>-</v>
      </c>
      <c r="O93" s="162"/>
      <c r="P93" s="190" t="str">
        <f>IF(COUNTIFS(Table16[ประเภท],P91,Table16[ฝ่าย],A93,Table16[สัปดาห์แจ้งซ่อม],"2")=0,"-",COUNTIFS(Table16[ประเภท],P91,Table16[ฝ่าย],A93,Table16[สัปดาห์แจ้งซ่อม],"2"))</f>
        <v>-</v>
      </c>
    </row>
    <row r="94" spans="1:16" ht="15" thickBot="1">
      <c r="A94" s="47" t="s">
        <v>56</v>
      </c>
      <c r="B94" s="48">
        <f>COUNTIFS(Table16[ฝ่าย],A94,Table16[สัปดาห์แจ้งซ่อม],2)</f>
        <v>1</v>
      </c>
      <c r="C94" s="49">
        <f>B94/B106</f>
        <v>7.1428571428571425E-2</v>
      </c>
      <c r="D94" s="44" t="str">
        <f>IF(COUNTIFS(Table16[ประเภท],D91,Table16[ฝ่าย],A94,Table16[สัปดาห์แจ้งซ่อม],"2")=0,"-",COUNTIFS(Table16[ประเภท],D91,Table16[ฝ่าย],A94,Table16[สัปดาห์แจ้งซ่อม],"2"))</f>
        <v>-</v>
      </c>
      <c r="E94" s="44">
        <f>IF(COUNTIFS(Table16[ประเภท],E91,Table16[ฝ่าย],A94,Table16[สัปดาห์แจ้งซ่อม],"2")=0,"-",COUNTIFS(Table16[ประเภท],E91,Table16[ฝ่าย],A94,Table16[สัปดาห์แจ้งซ่อม],"2"))</f>
        <v>1</v>
      </c>
      <c r="F94" s="44" t="str">
        <f>IF(COUNTIFS(Table16[ประเภท],F91,Table16[ฝ่าย],A94,Table16[สัปดาห์แจ้งซ่อม],"2")=0,"-",COUNTIFS(Table16[ประเภท],F91,Table16[ฝ่าย],A94,Table16[สัปดาห์แจ้งซ่อม],"2"))</f>
        <v>-</v>
      </c>
      <c r="G94" s="44" t="str">
        <f>IF(COUNTIFS(Table16[ประเภท],G91,Table16[ฝ่าย],A94,Table16[สัปดาห์แจ้งซ่อม],"2")=0,"-",COUNTIFS(Table16[ประเภท],G91,Table16[ฝ่าย],A94,Table16[สัปดาห์แจ้งซ่อม],"2"))</f>
        <v>-</v>
      </c>
      <c r="H94" s="44" t="str">
        <f>IF(COUNTIFS(Table16[ประเภท],H91,Table16[ฝ่าย],A94,Table16[สัปดาห์แจ้งซ่อม],"2")=0,"-",COUNTIFS(Table16[ประเภท],H91,Table16[ฝ่าย],A94,Table16[สัปดาห์แจ้งซ่อม],"2"))</f>
        <v>-</v>
      </c>
      <c r="I94" s="44" t="str">
        <f>IF(COUNTIFS(Table16[ประเภท],I91,Table16[ฝ่าย],A94,Table16[สัปดาห์แจ้งซ่อม],"2")=0,"-",COUNTIFS(Table16[ประเภท],I91,Table16[ฝ่าย],A94,Table16[สัปดาห์แจ้งซ่อม],"2"))</f>
        <v>-</v>
      </c>
      <c r="J94" s="44" t="str">
        <f>IF(COUNTIFS(Table16[ประเภท],J91,Table16[ฝ่าย],A94,Table16[สัปดาห์แจ้งซ่อม],"2")=0,"-",COUNTIFS(Table16[ประเภท],J91,Table16[ฝ่าย],A94,Table16[สัปดาห์แจ้งซ่อม],"2"))</f>
        <v>-</v>
      </c>
      <c r="K94" s="44" t="str">
        <f>IF(COUNTIFS(Table16[ประเภท],K91,Table16[ฝ่าย],A94,Table16[สัปดาห์แจ้งซ่อม],"2")=0,"-",COUNTIFS(Table16[ประเภท],K91,Table16[ฝ่าย],A94,Table16[สัปดาห์แจ้งซ่อม],"2"))</f>
        <v>-</v>
      </c>
      <c r="L94" s="44" t="str">
        <f>IF(COUNTIFS(Table16[ประเภท],L91,Table16[ฝ่าย],A94,Table16[สัปดาห์แจ้งซ่อม],"2")=0,"-",COUNTIFS(Table16[ประเภท],L91,Table16[ฝ่าย],A94,Table16[สัปดาห์แจ้งซ่อม],"2"))</f>
        <v>-</v>
      </c>
      <c r="M94" s="44" t="str">
        <f>IF(COUNTIFS(Table16[ประเภท],M91,Table16[ฝ่าย],A94,Table16[สัปดาห์แจ้งซ่อม],"2")=0,"-",COUNTIFS(Table16[ประเภท],M91,Table16[ฝ่าย],A94,Table16[สัปดาห์แจ้งซ่อม],"2"))</f>
        <v>-</v>
      </c>
      <c r="N94" s="44" t="str">
        <f>IF(COUNTIFS(Table16[ประเภท],N91,Table16[ฝ่าย],A94,Table16[สัปดาห์แจ้งซ่อม],"2")=0,"-",COUNTIFS(Table16[ประเภท],N91,Table16[ฝ่าย],A94,Table16[สัปดาห์แจ้งซ่อม],"2"))</f>
        <v>-</v>
      </c>
      <c r="O94" s="162"/>
      <c r="P94" s="190" t="str">
        <f>IF(COUNTIFS(Table16[ประเภท],P91,Table16[ฝ่าย],A94,Table16[สัปดาห์แจ้งซ่อม],"2")=0,"-",COUNTIFS(Table16[ประเภท],P91,Table16[ฝ่าย],A94,Table16[สัปดาห์แจ้งซ่อม],"2"))</f>
        <v>-</v>
      </c>
    </row>
    <row r="95" spans="1:16" ht="15" thickBot="1">
      <c r="A95" s="47" t="s">
        <v>57</v>
      </c>
      <c r="B95" s="48">
        <f>COUNTIFS(Table16[ฝ่าย],A95,Table16[สัปดาห์แจ้งซ่อม],2)</f>
        <v>0</v>
      </c>
      <c r="C95" s="64">
        <f>B95/B106</f>
        <v>0</v>
      </c>
      <c r="D95" s="44" t="str">
        <f>IF(COUNTIFS(Table16[ประเภท],D91,Table16[ฝ่าย],A95,Table16[สัปดาห์แจ้งซ่อม],"2")=0,"-",COUNTIFS(Table16[ประเภท],D91,Table16[ฝ่าย],A95,Table16[สัปดาห์แจ้งซ่อม],"2"))</f>
        <v>-</v>
      </c>
      <c r="E95" s="44" t="str">
        <f>IF(COUNTIFS(Table16[ประเภท],E91,Table16[ฝ่าย],A95,Table16[สัปดาห์แจ้งซ่อม],"2")=0,"-",COUNTIFS(Table16[ประเภท],E91,Table16[ฝ่าย],A95,Table16[สัปดาห์แจ้งซ่อม],"2"))</f>
        <v>-</v>
      </c>
      <c r="F95" s="44" t="str">
        <f>IF(COUNTIFS(Table16[ประเภท],F91,Table16[ฝ่าย],A95,Table16[สัปดาห์แจ้งซ่อม],"2")=0,"-",COUNTIFS(Table16[ประเภท],F91,Table16[ฝ่าย],A95,Table16[สัปดาห์แจ้งซ่อม],"2"))</f>
        <v>-</v>
      </c>
      <c r="G95" s="44" t="str">
        <f>IF(COUNTIFS(Table16[ประเภท],G91,Table16[ฝ่าย],A95,Table16[สัปดาห์แจ้งซ่อม],"2")=0,"-",COUNTIFS(Table16[ประเภท],G91,Table16[ฝ่าย],A95,Table16[สัปดาห์แจ้งซ่อม],"2"))</f>
        <v>-</v>
      </c>
      <c r="H95" s="44" t="str">
        <f>IF(COUNTIFS(Table16[ประเภท],H91,Table16[ฝ่าย],A95,Table16[สัปดาห์แจ้งซ่อม],"2")=0,"-",COUNTIFS(Table16[ประเภท],H91,Table16[ฝ่าย],A95,Table16[สัปดาห์แจ้งซ่อม],"2"))</f>
        <v>-</v>
      </c>
      <c r="I95" s="44" t="str">
        <f>IF(COUNTIFS(Table16[ประเภท],I91,Table16[ฝ่าย],A95,Table16[สัปดาห์แจ้งซ่อม],"2")=0,"-",COUNTIFS(Table16[ประเภท],I91,Table16[ฝ่าย],A95,Table16[สัปดาห์แจ้งซ่อม],"2"))</f>
        <v>-</v>
      </c>
      <c r="J95" s="44" t="str">
        <f>IF(COUNTIFS(Table16[ประเภท],J91,Table16[ฝ่าย],A95,Table16[สัปดาห์แจ้งซ่อม],"2")=0,"-",COUNTIFS(Table16[ประเภท],J91,Table16[ฝ่าย],A95,Table16[สัปดาห์แจ้งซ่อม],"2"))</f>
        <v>-</v>
      </c>
      <c r="K95" s="44" t="str">
        <f>IF(COUNTIFS(Table16[ประเภท],K91,Table16[ฝ่าย],A95,Table16[สัปดาห์แจ้งซ่อม],"2")=0,"-",COUNTIFS(Table16[ประเภท],K91,Table16[ฝ่าย],A95,Table16[สัปดาห์แจ้งซ่อม],"2"))</f>
        <v>-</v>
      </c>
      <c r="L95" s="44" t="str">
        <f>IF(COUNTIFS(Table16[ประเภท],L91,Table16[ฝ่าย],A95,Table16[สัปดาห์แจ้งซ่อม],"2")=0,"-",COUNTIFS(Table16[ประเภท],L91,Table16[ฝ่าย],A95,Table16[สัปดาห์แจ้งซ่อม],"2"))</f>
        <v>-</v>
      </c>
      <c r="M95" s="44" t="str">
        <f>IF(COUNTIFS(Table16[ประเภท],M91,Table16[ฝ่าย],A95,Table16[สัปดาห์แจ้งซ่อม],"2")=0,"-",COUNTIFS(Table16[ประเภท],M91,Table16[ฝ่าย],A95,Table16[สัปดาห์แจ้งซ่อม],"2"))</f>
        <v>-</v>
      </c>
      <c r="N95" s="44" t="str">
        <f>IF(COUNTIFS(Table16[ประเภท],N91,Table16[ฝ่าย],A95,Table16[สัปดาห์แจ้งซ่อม],"2")=0,"-",COUNTIFS(Table16[ประเภท],N91,Table16[ฝ่าย],A95,Table16[สัปดาห์แจ้งซ่อม],"2"))</f>
        <v>-</v>
      </c>
      <c r="O95" s="162"/>
      <c r="P95" s="190" t="str">
        <f>IF(COUNTIFS(Table16[ประเภท],P91,Table16[ฝ่าย],A95,Table16[สัปดาห์แจ้งซ่อม],"2")=0,"-",COUNTIFS(Table16[ประเภท],P91,Table16[ฝ่าย],A95,Table16[สัปดาห์แจ้งซ่อม],"2"))</f>
        <v>-</v>
      </c>
    </row>
    <row r="96" spans="1:16" ht="15" thickBot="1">
      <c r="A96" s="47" t="s">
        <v>58</v>
      </c>
      <c r="B96" s="48">
        <f>COUNTIFS(Table16[ฝ่าย],A96,Table16[สัปดาห์แจ้งซ่อม],2)</f>
        <v>0</v>
      </c>
      <c r="C96" s="49">
        <f>B96/B106</f>
        <v>0</v>
      </c>
      <c r="D96" s="44" t="str">
        <f>IF(COUNTIFS(Table16[ประเภท],D91,Table16[ฝ่าย],A96,Table16[สัปดาห์แจ้งซ่อม],"2")=0,"-",COUNTIFS(Table16[ประเภท],D91,Table16[ฝ่าย],A96,Table16[สัปดาห์แจ้งซ่อม],"2"))</f>
        <v>-</v>
      </c>
      <c r="E96" s="44" t="str">
        <f>IF(COUNTIFS(Table16[ประเภท],E91,Table16[ฝ่าย],A96,Table16[สัปดาห์แจ้งซ่อม],"2")=0,"-",COUNTIFS(Table16[ประเภท],E91,Table16[ฝ่าย],A96,Table16[สัปดาห์แจ้งซ่อม],"2"))</f>
        <v>-</v>
      </c>
      <c r="F96" s="44" t="str">
        <f>IF(COUNTIFS(Table16[ประเภท],F91,Table16[ฝ่าย],A96,Table16[สัปดาห์แจ้งซ่อม],"2")=0,"-",COUNTIFS(Table16[ประเภท],F91,Table16[ฝ่าย],A96,Table16[สัปดาห์แจ้งซ่อม],"2"))</f>
        <v>-</v>
      </c>
      <c r="G96" s="44" t="str">
        <f>IF(COUNTIFS(Table16[ประเภท],G91,Table16[ฝ่าย],A96,Table16[สัปดาห์แจ้งซ่อม],"2")=0,"-",COUNTIFS(Table16[ประเภท],G91,Table16[ฝ่าย],A96,Table16[สัปดาห์แจ้งซ่อม],"2"))</f>
        <v>-</v>
      </c>
      <c r="H96" s="44" t="str">
        <f>IF(COUNTIFS(Table16[ประเภท],H91,Table16[ฝ่าย],A96,Table16[สัปดาห์แจ้งซ่อม],"2")=0,"-",COUNTIFS(Table16[ประเภท],H91,Table16[ฝ่าย],A96,Table16[สัปดาห์แจ้งซ่อม],"2"))</f>
        <v>-</v>
      </c>
      <c r="I96" s="44" t="str">
        <f>IF(COUNTIFS(Table16[ประเภท],I91,Table16[ฝ่าย],A96,Table16[สัปดาห์แจ้งซ่อม],"2")=0,"-",COUNTIFS(Table16[ประเภท],I91,Table16[ฝ่าย],A96,Table16[สัปดาห์แจ้งซ่อม],"2"))</f>
        <v>-</v>
      </c>
      <c r="J96" s="44" t="str">
        <f>IF(COUNTIFS(Table16[ประเภท],J91,Table16[ฝ่าย],A96,Table16[สัปดาห์แจ้งซ่อม],"2")=0,"-",COUNTIFS(Table16[ประเภท],J91,Table16[ฝ่าย],A96,Table16[สัปดาห์แจ้งซ่อม],"2"))</f>
        <v>-</v>
      </c>
      <c r="K96" s="44" t="str">
        <f>IF(COUNTIFS(Table16[ประเภท],K91,Table16[ฝ่าย],A96,Table16[สัปดาห์แจ้งซ่อม],"2")=0,"-",COUNTIFS(Table16[ประเภท],K91,Table16[ฝ่าย],A96,Table16[สัปดาห์แจ้งซ่อม],"2"))</f>
        <v>-</v>
      </c>
      <c r="L96" s="44" t="str">
        <f>IF(COUNTIFS(Table16[ประเภท],L91,Table16[ฝ่าย],A96,Table16[สัปดาห์แจ้งซ่อม],"2")=0,"-",COUNTIFS(Table16[ประเภท],L91,Table16[ฝ่าย],A96,Table16[สัปดาห์แจ้งซ่อม],"2"))</f>
        <v>-</v>
      </c>
      <c r="M96" s="44" t="str">
        <f>IF(COUNTIFS(Table16[ประเภท],M91,Table16[ฝ่าย],A96,Table16[สัปดาห์แจ้งซ่อม],"2")=0,"-",COUNTIFS(Table16[ประเภท],M91,Table16[ฝ่าย],A96,Table16[สัปดาห์แจ้งซ่อม],"2"))</f>
        <v>-</v>
      </c>
      <c r="N96" s="44" t="str">
        <f>IF(COUNTIFS(Table16[ประเภท],N91,Table16[ฝ่าย],A96,Table16[สัปดาห์แจ้งซ่อม],"2")=0,"-",COUNTIFS(Table16[ประเภท],N91,Table16[ฝ่าย],A96,Table16[สัปดาห์แจ้งซ่อม],"2"))</f>
        <v>-</v>
      </c>
      <c r="O96" s="162"/>
      <c r="P96" s="190" t="str">
        <f>IF(COUNTIFS(Table16[ประเภท],P91,Table16[ฝ่าย],A96,Table16[สัปดาห์แจ้งซ่อม],"2")=0,"-",COUNTIFS(Table16[ประเภท],P91,Table16[ฝ่าย],A96,Table16[สัปดาห์แจ้งซ่อม],"2"))</f>
        <v>-</v>
      </c>
    </row>
    <row r="97" spans="1:16" ht="15" thickBot="1">
      <c r="A97" s="47" t="s">
        <v>59</v>
      </c>
      <c r="B97" s="48">
        <f>COUNTIFS(Table16[ฝ่าย],A97,Table16[สัปดาห์แจ้งซ่อม],2)</f>
        <v>0</v>
      </c>
      <c r="C97" s="49">
        <f>B97/B106</f>
        <v>0</v>
      </c>
      <c r="D97" s="44" t="str">
        <f>IF(COUNTIFS(Table16[ประเภท],D91,Table16[ฝ่าย],A97,Table16[สัปดาห์แจ้งซ่อม],"2")=0,"-",COUNTIFS(Table16[ประเภท],D91,Table16[ฝ่าย],A97,Table16[สัปดาห์แจ้งซ่อม],"2"))</f>
        <v>-</v>
      </c>
      <c r="E97" s="44" t="str">
        <f>IF(COUNTIFS(Table16[ประเภท],E91,Table16[ฝ่าย],A97,Table16[สัปดาห์แจ้งซ่อม],"2")=0,"-",COUNTIFS(Table16[ประเภท],E91,Table16[ฝ่าย],A97,Table16[สัปดาห์แจ้งซ่อม],"2"))</f>
        <v>-</v>
      </c>
      <c r="F97" s="44" t="str">
        <f>IF(COUNTIFS(Table16[ประเภท],F91,Table16[ฝ่าย],A97,Table16[สัปดาห์แจ้งซ่อม],"2")=0,"-",COUNTIFS(Table16[ประเภท],F91,Table16[ฝ่าย],A97,Table16[สัปดาห์แจ้งซ่อม],"2"))</f>
        <v>-</v>
      </c>
      <c r="G97" s="44" t="str">
        <f>IF(COUNTIFS(Table16[ประเภท],G91,Table16[ฝ่าย],A97,Table16[สัปดาห์แจ้งซ่อม],"2")=0,"-",COUNTIFS(Table16[ประเภท],G91,Table16[ฝ่าย],A97,Table16[สัปดาห์แจ้งซ่อม],"2"))</f>
        <v>-</v>
      </c>
      <c r="H97" s="44" t="str">
        <f>IF(COUNTIFS(Table16[ประเภท],H91,Table16[ฝ่าย],A97,Table16[สัปดาห์แจ้งซ่อม],"2")=0,"-",COUNTIFS(Table16[ประเภท],H91,Table16[ฝ่าย],A97,Table16[สัปดาห์แจ้งซ่อม],"2"))</f>
        <v>-</v>
      </c>
      <c r="I97" s="44" t="str">
        <f>IF(COUNTIFS(Table16[ประเภท],I91,Table16[ฝ่าย],A97,Table16[สัปดาห์แจ้งซ่อม],"2")=0,"-",COUNTIFS(Table16[ประเภท],I91,Table16[ฝ่าย],A97,Table16[สัปดาห์แจ้งซ่อม],"2"))</f>
        <v>-</v>
      </c>
      <c r="J97" s="44" t="str">
        <f>IF(COUNTIFS(Table16[ประเภท],J91,Table16[ฝ่าย],A97,Table16[สัปดาห์แจ้งซ่อม],"2")=0,"-",COUNTIFS(Table16[ประเภท],J91,Table16[ฝ่าย],A97,Table16[สัปดาห์แจ้งซ่อม],"2"))</f>
        <v>-</v>
      </c>
      <c r="K97" s="44" t="str">
        <f>IF(COUNTIFS(Table16[ประเภท],K91,Table16[ฝ่าย],A97,Table16[สัปดาห์แจ้งซ่อม],"2")=0,"-",COUNTIFS(Table16[ประเภท],K91,Table16[ฝ่าย],A97,Table16[สัปดาห์แจ้งซ่อม],"2"))</f>
        <v>-</v>
      </c>
      <c r="L97" s="44" t="str">
        <f>IF(COUNTIFS(Table16[ประเภท],L91,Table16[ฝ่าย],A97,Table16[สัปดาห์แจ้งซ่อม],"2")=0,"-",COUNTIFS(Table16[ประเภท],L91,Table16[ฝ่าย],A97,Table16[สัปดาห์แจ้งซ่อม],"2"))</f>
        <v>-</v>
      </c>
      <c r="M97" s="44" t="str">
        <f>IF(COUNTIFS(Table16[ประเภท],M91,Table16[ฝ่าย],A97,Table16[สัปดาห์แจ้งซ่อม],"2")=0,"-",COUNTIFS(Table16[ประเภท],M91,Table16[ฝ่าย],A97,Table16[สัปดาห์แจ้งซ่อม],"2"))</f>
        <v>-</v>
      </c>
      <c r="N97" s="44" t="str">
        <f>IF(COUNTIFS(Table16[ประเภท],N91,Table16[ฝ่าย],A97,Table16[สัปดาห์แจ้งซ่อม],"2")=0,"-",COUNTIFS(Table16[ประเภท],N91,Table16[ฝ่าย],A97,Table16[สัปดาห์แจ้งซ่อม],"2"))</f>
        <v>-</v>
      </c>
      <c r="O97" s="162"/>
      <c r="P97" s="190" t="str">
        <f>IF(COUNTIFS(Table16[ประเภท],P91,Table16[ฝ่าย],A97,Table16[สัปดาห์แจ้งซ่อม],"2")=0,"-",COUNTIFS(Table16[ประเภท],P91,Table16[ฝ่าย],A97,Table16[สัปดาห์แจ้งซ่อม],"2"))</f>
        <v>-</v>
      </c>
    </row>
    <row r="98" spans="1:16" ht="15" thickBot="1">
      <c r="A98" s="47" t="s">
        <v>60</v>
      </c>
      <c r="B98" s="48">
        <f>COUNTIFS(Table16[ฝ่าย],A98,Table16[สัปดาห์แจ้งซ่อม],2)</f>
        <v>0</v>
      </c>
      <c r="C98" s="49">
        <f>B98/B106</f>
        <v>0</v>
      </c>
      <c r="D98" s="44" t="str">
        <f>IF(COUNTIFS(Table16[ประเภท],D91,Table16[ฝ่าย],A98,Table16[สัปดาห์แจ้งซ่อม],"2")=0,"-",COUNTIFS(Table16[ประเภท],D91,Table16[ฝ่าย],A98,Table16[สัปดาห์แจ้งซ่อม],"2"))</f>
        <v>-</v>
      </c>
      <c r="E98" s="44" t="str">
        <f>IF(COUNTIFS(Table16[ประเภท],E91,Table16[ฝ่าย],A98,Table16[สัปดาห์แจ้งซ่อม],"2")=0,"-",COUNTIFS(Table16[ประเภท],E91,Table16[ฝ่าย],A98,Table16[สัปดาห์แจ้งซ่อม],"2"))</f>
        <v>-</v>
      </c>
      <c r="F98" s="44" t="str">
        <f>IF(COUNTIFS(Table16[ประเภท],F91,Table16[ฝ่าย],A98,Table16[สัปดาห์แจ้งซ่อม],"2")=0,"-",COUNTIFS(Table16[ประเภท],F91,Table16[ฝ่าย],A98,Table16[สัปดาห์แจ้งซ่อม],"2"))</f>
        <v>-</v>
      </c>
      <c r="G98" s="44" t="str">
        <f>IF(COUNTIFS(Table16[ประเภท],G91,Table16[ฝ่าย],A98,Table16[สัปดาห์แจ้งซ่อม],"2")=0,"-",COUNTIFS(Table16[ประเภท],G91,Table16[ฝ่าย],A98,Table16[สัปดาห์แจ้งซ่อม],"2"))</f>
        <v>-</v>
      </c>
      <c r="H98" s="44" t="str">
        <f>IF(COUNTIFS(Table16[ประเภท],H91,Table16[ฝ่าย],A98,Table16[สัปดาห์แจ้งซ่อม],"2")=0,"-",COUNTIFS(Table16[ประเภท],H91,Table16[ฝ่าย],A98,Table16[สัปดาห์แจ้งซ่อม],"2"))</f>
        <v>-</v>
      </c>
      <c r="I98" s="44" t="str">
        <f>IF(COUNTIFS(Table16[ประเภท],I91,Table16[ฝ่าย],A98,Table16[สัปดาห์แจ้งซ่อม],"2")=0,"-",COUNTIFS(Table16[ประเภท],I91,Table16[ฝ่าย],A98,Table16[สัปดาห์แจ้งซ่อม],"2"))</f>
        <v>-</v>
      </c>
      <c r="J98" s="44" t="str">
        <f>IF(COUNTIFS(Table16[ประเภท],J91,Table16[ฝ่าย],A98,Table16[สัปดาห์แจ้งซ่อม],"2")=0,"-",COUNTIFS(Table16[ประเภท],J91,Table16[ฝ่าย],A98,Table16[สัปดาห์แจ้งซ่อม],"2"))</f>
        <v>-</v>
      </c>
      <c r="K98" s="44" t="str">
        <f>IF(COUNTIFS(Table16[ประเภท],K91,Table16[ฝ่าย],A98,Table16[สัปดาห์แจ้งซ่อม],"2")=0,"-",COUNTIFS(Table16[ประเภท],K91,Table16[ฝ่าย],A98,Table16[สัปดาห์แจ้งซ่อม],"2"))</f>
        <v>-</v>
      </c>
      <c r="L98" s="44" t="str">
        <f>IF(COUNTIFS(Table16[ประเภท],L91,Table16[ฝ่าย],A98,Table16[สัปดาห์แจ้งซ่อม],"2")=0,"-",COUNTIFS(Table16[ประเภท],L91,Table16[ฝ่าย],A98,Table16[สัปดาห์แจ้งซ่อม],"2"))</f>
        <v>-</v>
      </c>
      <c r="M98" s="44" t="str">
        <f>IF(COUNTIFS(Table16[ประเภท],M91,Table16[ฝ่าย],A98,Table16[สัปดาห์แจ้งซ่อม],"2")=0,"-",COUNTIFS(Table16[ประเภท],M91,Table16[ฝ่าย],A98,Table16[สัปดาห์แจ้งซ่อม],"2"))</f>
        <v>-</v>
      </c>
      <c r="N98" s="44" t="str">
        <f>IF(COUNTIFS(Table16[ประเภท],N91,Table16[ฝ่าย],A98,Table16[สัปดาห์แจ้งซ่อม],"2")=0,"-",COUNTIFS(Table16[ประเภท],N91,Table16[ฝ่าย],A98,Table16[สัปดาห์แจ้งซ่อม],"2"))</f>
        <v>-</v>
      </c>
      <c r="O98" s="162"/>
      <c r="P98" s="190" t="str">
        <f>IF(COUNTIFS(Table16[ประเภท],P91,Table16[ฝ่าย],A98,Table16[สัปดาห์แจ้งซ่อม],"2")=0,"-",COUNTIFS(Table16[ประเภท],P91,Table16[ฝ่าย],A98,Table16[สัปดาห์แจ้งซ่อม],"2"))</f>
        <v>-</v>
      </c>
    </row>
    <row r="99" spans="1:16" ht="15" thickBot="1">
      <c r="A99" s="47" t="s">
        <v>61</v>
      </c>
      <c r="B99" s="48">
        <f>COUNTIFS(Table16[ฝ่าย],A99,Table16[สัปดาห์แจ้งซ่อม],2)</f>
        <v>0</v>
      </c>
      <c r="C99" s="49">
        <f>B99/B106</f>
        <v>0</v>
      </c>
      <c r="D99" s="44" t="str">
        <f>IF(COUNTIFS(Table16[ประเภท],D91,Table16[ฝ่าย],A99,Table16[สัปดาห์แจ้งซ่อม],"2")=0,"-",COUNTIFS(Table16[ประเภท],D91,Table16[ฝ่าย],A99,Table16[สัปดาห์แจ้งซ่อม],"2"))</f>
        <v>-</v>
      </c>
      <c r="E99" s="44" t="str">
        <f>IF(COUNTIFS(Table16[ประเภท],E91,Table16[ฝ่าย],A99,Table16[สัปดาห์แจ้งซ่อม],"2")=0,"-",COUNTIFS(Table16[ประเภท],E91,Table16[ฝ่าย],A99,Table16[สัปดาห์แจ้งซ่อม],"2"))</f>
        <v>-</v>
      </c>
      <c r="F99" s="44" t="str">
        <f>IF(COUNTIFS(Table16[ประเภท],F91,Table16[ฝ่าย],A99,Table16[สัปดาห์แจ้งซ่อม],"2")=0,"-",COUNTIFS(Table16[ประเภท],F91,Table16[ฝ่าย],A99,Table16[สัปดาห์แจ้งซ่อม],"2"))</f>
        <v>-</v>
      </c>
      <c r="G99" s="44" t="str">
        <f>IF(COUNTIFS(Table16[ประเภท],G91,Table16[ฝ่าย],A99,Table16[สัปดาห์แจ้งซ่อม],"2")=0,"-",COUNTIFS(Table16[ประเภท],G91,Table16[ฝ่าย],A99,Table16[สัปดาห์แจ้งซ่อม],"2"))</f>
        <v>-</v>
      </c>
      <c r="H99" s="44" t="str">
        <f>IF(COUNTIFS(Table16[ประเภท],H91,Table16[ฝ่าย],A99,Table16[สัปดาห์แจ้งซ่อม],"2")=0,"-",COUNTIFS(Table16[ประเภท],H91,Table16[ฝ่าย],A99,Table16[สัปดาห์แจ้งซ่อม],"2"))</f>
        <v>-</v>
      </c>
      <c r="I99" s="44" t="str">
        <f>IF(COUNTIFS(Table16[ประเภท],I91,Table16[ฝ่าย],A99,Table16[สัปดาห์แจ้งซ่อม],"2")=0,"-",COUNTIFS(Table16[ประเภท],I91,Table16[ฝ่าย],A99,Table16[สัปดาห์แจ้งซ่อม],"2"))</f>
        <v>-</v>
      </c>
      <c r="J99" s="44" t="str">
        <f>IF(COUNTIFS(Table16[ประเภท],J91,Table16[ฝ่าย],A99,Table16[สัปดาห์แจ้งซ่อม],"2")=0,"-",COUNTIFS(Table16[ประเภท],J91,Table16[ฝ่าย],A99,Table16[สัปดาห์แจ้งซ่อม],"2"))</f>
        <v>-</v>
      </c>
      <c r="K99" s="44" t="str">
        <f>IF(COUNTIFS(Table16[ประเภท],K91,Table16[ฝ่าย],A99,Table16[สัปดาห์แจ้งซ่อม],"2")=0,"-",COUNTIFS(Table16[ประเภท],K91,Table16[ฝ่าย],A99,Table16[สัปดาห์แจ้งซ่อม],"2"))</f>
        <v>-</v>
      </c>
      <c r="L99" s="44" t="str">
        <f>IF(COUNTIFS(Table16[ประเภท],L91,Table16[ฝ่าย],A99,Table16[สัปดาห์แจ้งซ่อม],"2")=0,"-",COUNTIFS(Table16[ประเภท],L91,Table16[ฝ่าย],A99,Table16[สัปดาห์แจ้งซ่อม],"2"))</f>
        <v>-</v>
      </c>
      <c r="M99" s="44" t="str">
        <f>IF(COUNTIFS(Table16[ประเภท],M91,Table16[ฝ่าย],A99,Table16[สัปดาห์แจ้งซ่อม],"2")=0,"-",COUNTIFS(Table16[ประเภท],M91,Table16[ฝ่าย],A99,Table16[สัปดาห์แจ้งซ่อม],"2"))</f>
        <v>-</v>
      </c>
      <c r="N99" s="44" t="str">
        <f>IF(COUNTIFS(Table16[ประเภท],N91,Table16[ฝ่าย],A99,Table16[สัปดาห์แจ้งซ่อม],"2")=0,"-",COUNTIFS(Table16[ประเภท],N91,Table16[ฝ่าย],A99,Table16[สัปดาห์แจ้งซ่อม],"2"))</f>
        <v>-</v>
      </c>
      <c r="O99" s="162"/>
      <c r="P99" s="190" t="str">
        <f>IF(COUNTIFS(Table16[ประเภท],P91,Table16[ฝ่าย],A99,Table16[สัปดาห์แจ้งซ่อม],"2")=0,"-",COUNTIFS(Table16[ประเภท],P91,Table16[ฝ่าย],A99,Table16[สัปดาห์แจ้งซ่อม],"2"))</f>
        <v>-</v>
      </c>
    </row>
    <row r="100" spans="1:16" ht="15" thickBot="1">
      <c r="A100" s="47" t="s">
        <v>62</v>
      </c>
      <c r="B100" s="48">
        <f>COUNTIFS(Table16[ฝ่าย],A100,Table16[สัปดาห์แจ้งซ่อม],2)</f>
        <v>0</v>
      </c>
      <c r="C100" s="49">
        <f>B100/B106</f>
        <v>0</v>
      </c>
      <c r="D100" s="44" t="str">
        <f>IF(COUNTIFS(Table16[ประเภท],D91,Table16[ฝ่าย],A100,Table16[สัปดาห์แจ้งซ่อม],"2")=0,"-",COUNTIFS(Table16[ประเภท],D91,Table16[ฝ่าย],A100,Table16[สัปดาห์แจ้งซ่อม],"2"))</f>
        <v>-</v>
      </c>
      <c r="E100" s="44" t="str">
        <f>IF(COUNTIFS(Table16[ประเภท],E91,Table16[ฝ่าย],A100,Table16[สัปดาห์แจ้งซ่อม],"2")=0,"-",COUNTIFS(Table16[ประเภท],E91,Table16[ฝ่าย],A100,Table16[สัปดาห์แจ้งซ่อม],"2"))</f>
        <v>-</v>
      </c>
      <c r="F100" s="44" t="str">
        <f>IF(COUNTIFS(Table16[ประเภท],F91,Table16[ฝ่าย],A100,Table16[สัปดาห์แจ้งซ่อม],"2")=0,"-",COUNTIFS(Table16[ประเภท],F91,Table16[ฝ่าย],A100,Table16[สัปดาห์แจ้งซ่อม],"2"))</f>
        <v>-</v>
      </c>
      <c r="G100" s="44" t="str">
        <f>IF(COUNTIFS(Table16[ประเภท],G91,Table16[ฝ่าย],A100,Table16[สัปดาห์แจ้งซ่อม],"2")=0,"-",COUNTIFS(Table16[ประเภท],G91,Table16[ฝ่าย],A100,Table16[สัปดาห์แจ้งซ่อม],"2"))</f>
        <v>-</v>
      </c>
      <c r="H100" s="44" t="str">
        <f>IF(COUNTIFS(Table16[ประเภท],H91,Table16[ฝ่าย],A100,Table16[สัปดาห์แจ้งซ่อม],"2")=0,"-",COUNTIFS(Table16[ประเภท],H91,Table16[ฝ่าย],A100,Table16[สัปดาห์แจ้งซ่อม],"2"))</f>
        <v>-</v>
      </c>
      <c r="I100" s="44" t="str">
        <f>IF(COUNTIFS(Table16[ประเภท],I91,Table16[ฝ่าย],A100,Table16[สัปดาห์แจ้งซ่อม],"2")=0,"-",COUNTIFS(Table16[ประเภท],I91,Table16[ฝ่าย],A100,Table16[สัปดาห์แจ้งซ่อม],"2"))</f>
        <v>-</v>
      </c>
      <c r="J100" s="44" t="str">
        <f>IF(COUNTIFS(Table16[ประเภท],J91,Table16[ฝ่าย],A100,Table16[สัปดาห์แจ้งซ่อม],"2")=0,"-",COUNTIFS(Table16[ประเภท],J91,Table16[ฝ่าย],A100,Table16[สัปดาห์แจ้งซ่อม],"2"))</f>
        <v>-</v>
      </c>
      <c r="K100" s="44" t="str">
        <f>IF(COUNTIFS(Table16[ประเภท],K91,Table16[ฝ่าย],A100,Table16[สัปดาห์แจ้งซ่อม],"2")=0,"-",COUNTIFS(Table16[ประเภท],K91,Table16[ฝ่าย],A100,Table16[สัปดาห์แจ้งซ่อม],"2"))</f>
        <v>-</v>
      </c>
      <c r="L100" s="44" t="str">
        <f>IF(COUNTIFS(Table16[ประเภท],L91,Table16[ฝ่าย],A100,Table16[สัปดาห์แจ้งซ่อม],"2")=0,"-",COUNTIFS(Table16[ประเภท],L91,Table16[ฝ่าย],A100,Table16[สัปดาห์แจ้งซ่อม],"2"))</f>
        <v>-</v>
      </c>
      <c r="M100" s="44" t="str">
        <f>IF(COUNTIFS(Table16[ประเภท],M91,Table16[ฝ่าย],A100,Table16[สัปดาห์แจ้งซ่อม],"2")=0,"-",COUNTIFS(Table16[ประเภท],M91,Table16[ฝ่าย],A100,Table16[สัปดาห์แจ้งซ่อม],"2"))</f>
        <v>-</v>
      </c>
      <c r="N100" s="44" t="str">
        <f>IF(COUNTIFS(Table16[ประเภท],N91,Table16[ฝ่าย],A100,Table16[สัปดาห์แจ้งซ่อม],"2")=0,"-",COUNTIFS(Table16[ประเภท],N91,Table16[ฝ่าย],A100,Table16[สัปดาห์แจ้งซ่อม],"2"))</f>
        <v>-</v>
      </c>
      <c r="O100" s="162"/>
      <c r="P100" s="190" t="str">
        <f>IF(COUNTIFS(Table16[ประเภท],P91,Table16[ฝ่าย],A100,Table16[สัปดาห์แจ้งซ่อม],"2")=0,"-",COUNTIFS(Table16[ประเภท],P91,Table16[ฝ่าย],A100,Table16[สัปดาห์แจ้งซ่อม],"2"))</f>
        <v>-</v>
      </c>
    </row>
    <row r="101" spans="1:16" ht="15" thickBot="1">
      <c r="A101" s="47" t="s">
        <v>63</v>
      </c>
      <c r="B101" s="48">
        <f>COUNTIFS(Table16[ฝ่าย],A101,Table16[สัปดาห์แจ้งซ่อม],2)</f>
        <v>0</v>
      </c>
      <c r="C101" s="50">
        <f>B101/B106</f>
        <v>0</v>
      </c>
      <c r="D101" s="44" t="str">
        <f>IF(COUNTIFS(Table16[ประเภท],D91,Table16[ฝ่าย],A101,Table16[สัปดาห์แจ้งซ่อม],"2")=0,"-",COUNTIFS(Table16[ประเภท],D91,Table16[ฝ่าย],A101,Table16[สัปดาห์แจ้งซ่อม],"2"))</f>
        <v>-</v>
      </c>
      <c r="E101" s="44" t="str">
        <f>IF(COUNTIFS(Table16[ประเภท],E91,Table16[ฝ่าย],A101,Table16[สัปดาห์แจ้งซ่อม],"2")=0,"-",COUNTIFS(Table16[ประเภท],E91,Table16[ฝ่าย],A101,Table16[สัปดาห์แจ้งซ่อม],"2"))</f>
        <v>-</v>
      </c>
      <c r="F101" s="44" t="str">
        <f>IF(COUNTIFS(Table16[ประเภท],F91,Table16[ฝ่าย],A101,Table16[สัปดาห์แจ้งซ่อม],"2")=0,"-",COUNTIFS(Table16[ประเภท],F91,Table16[ฝ่าย],A101,Table16[สัปดาห์แจ้งซ่อม],"2"))</f>
        <v>-</v>
      </c>
      <c r="G101" s="44" t="str">
        <f>IF(COUNTIFS(Table16[ประเภท],G91,Table16[ฝ่าย],A101,Table16[สัปดาห์แจ้งซ่อม],"2")=0,"-",COUNTIFS(Table16[ประเภท],G91,Table16[ฝ่าย],A101,Table16[สัปดาห์แจ้งซ่อม],"2"))</f>
        <v>-</v>
      </c>
      <c r="H101" s="44" t="str">
        <f>IF(COUNTIFS(Table16[ประเภท],H91,Table16[ฝ่าย],A101,Table16[สัปดาห์แจ้งซ่อม],"2")=0,"-",COUNTIFS(Table16[ประเภท],H91,Table16[ฝ่าย],A101,Table16[สัปดาห์แจ้งซ่อม],"2"))</f>
        <v>-</v>
      </c>
      <c r="I101" s="44" t="str">
        <f>IF(COUNTIFS(Table16[ประเภท],I91,Table16[ฝ่าย],A101,Table16[สัปดาห์แจ้งซ่อม],"2")=0,"-",COUNTIFS(Table16[ประเภท],I91,Table16[ฝ่าย],A101,Table16[สัปดาห์แจ้งซ่อม],"2"))</f>
        <v>-</v>
      </c>
      <c r="J101" s="44" t="str">
        <f>IF(COUNTIFS(Table16[ประเภท],J91,Table16[ฝ่าย],A101,Table16[สัปดาห์แจ้งซ่อม],"2")=0,"-",COUNTIFS(Table16[ประเภท],J91,Table16[ฝ่าย],A101,Table16[สัปดาห์แจ้งซ่อม],"2"))</f>
        <v>-</v>
      </c>
      <c r="K101" s="44" t="str">
        <f>IF(COUNTIFS(Table16[ประเภท],K91,Table16[ฝ่าย],A101,Table16[สัปดาห์แจ้งซ่อม],"2")=0,"-",COUNTIFS(Table16[ประเภท],K91,Table16[ฝ่าย],A101,Table16[สัปดาห์แจ้งซ่อม],"2"))</f>
        <v>-</v>
      </c>
      <c r="L101" s="44" t="str">
        <f>IF(COUNTIFS(Table16[ประเภท],L91,Table16[ฝ่าย],A101,Table16[สัปดาห์แจ้งซ่อม],"2")=0,"-",COUNTIFS(Table16[ประเภท],L91,Table16[ฝ่าย],A101,Table16[สัปดาห์แจ้งซ่อม],"2"))</f>
        <v>-</v>
      </c>
      <c r="M101" s="44" t="str">
        <f>IF(COUNTIFS(Table16[ประเภท],M91,Table16[ฝ่าย],A101,Table16[สัปดาห์แจ้งซ่อม],"2")=0,"-",COUNTIFS(Table16[ประเภท],M91,Table16[ฝ่าย],A101,Table16[สัปดาห์แจ้งซ่อม],"2"))</f>
        <v>-</v>
      </c>
      <c r="N101" s="44" t="str">
        <f>IF(COUNTIFS(Table16[ประเภท],N91,Table16[ฝ่าย],A101,Table16[สัปดาห์แจ้งซ่อม],"2")=0,"-",COUNTIFS(Table16[ประเภท],N91,Table16[ฝ่าย],A101,Table16[สัปดาห์แจ้งซ่อม],"2"))</f>
        <v>-</v>
      </c>
      <c r="O101" s="162"/>
      <c r="P101" s="190" t="str">
        <f>IF(COUNTIFS(Table16[ประเภท],P91,Table16[ฝ่าย],A101,Table16[สัปดาห์แจ้งซ่อม],"2")=0,"-",COUNTIFS(Table16[ประเภท],P91,Table16[ฝ่าย],A101,Table16[สัปดาห์แจ้งซ่อม],"2"))</f>
        <v>-</v>
      </c>
    </row>
    <row r="102" spans="1:16" ht="15" thickBot="1">
      <c r="A102" s="47" t="s">
        <v>64</v>
      </c>
      <c r="B102" s="48">
        <f>COUNTIFS(Table16[ฝ่าย],A102,Table16[สัปดาห์แจ้งซ่อม],2)</f>
        <v>0</v>
      </c>
      <c r="C102" s="50">
        <f>B102/B106</f>
        <v>0</v>
      </c>
      <c r="D102" s="44" t="str">
        <f>IF(COUNTIFS(Table16[ประเภท],D91,Table16[ฝ่าย],A102,Table16[สัปดาห์แจ้งซ่อม],"2")=0,"-",COUNTIFS(Table16[ประเภท],D91,Table16[ฝ่าย],A102,Table16[สัปดาห์แจ้งซ่อม],"2"))</f>
        <v>-</v>
      </c>
      <c r="E102" s="44" t="str">
        <f>IF(COUNTIFS(Table16[ประเภท],E91,Table16[ฝ่าย],A102,Table16[สัปดาห์แจ้งซ่อม],"2")=0,"-",COUNTIFS(Table16[ประเภท],E91,Table16[ฝ่าย],A102,Table16[สัปดาห์แจ้งซ่อม],"2"))</f>
        <v>-</v>
      </c>
      <c r="F102" s="44" t="str">
        <f>IF(COUNTIFS(Table16[ประเภท],F91,Table16[ฝ่าย],A102,Table16[สัปดาห์แจ้งซ่อม],"2")=0,"-",COUNTIFS(Table16[ประเภท],F91,Table16[ฝ่าย],A102,Table16[สัปดาห์แจ้งซ่อม],"2"))</f>
        <v>-</v>
      </c>
      <c r="G102" s="44" t="str">
        <f>IF(COUNTIFS(Table16[ประเภท],G91,Table16[ฝ่าย],A102,Table16[สัปดาห์แจ้งซ่อม],"2")=0,"-",COUNTIFS(Table16[ประเภท],G91,Table16[ฝ่าย],A102,Table16[สัปดาห์แจ้งซ่อม],"2"))</f>
        <v>-</v>
      </c>
      <c r="H102" s="44" t="str">
        <f>IF(COUNTIFS(Table16[ประเภท],H91,Table16[ฝ่าย],A102,Table16[สัปดาห์แจ้งซ่อม],"2")=0,"-",COUNTIFS(Table16[ประเภท],H91,Table16[ฝ่าย],A102,Table16[สัปดาห์แจ้งซ่อม],"2"))</f>
        <v>-</v>
      </c>
      <c r="I102" s="44" t="str">
        <f>IF(COUNTIFS(Table16[ประเภท],I91,Table16[ฝ่าย],A102,Table16[สัปดาห์แจ้งซ่อม],"2")=0,"-",COUNTIFS(Table16[ประเภท],I91,Table16[ฝ่าย],A102,Table16[สัปดาห์แจ้งซ่อม],"2"))</f>
        <v>-</v>
      </c>
      <c r="J102" s="44" t="str">
        <f>IF(COUNTIFS(Table16[ประเภท],J91,Table16[ฝ่าย],A102,Table16[สัปดาห์แจ้งซ่อม],"2")=0,"-",COUNTIFS(Table16[ประเภท],J91,Table16[ฝ่าย],A102,Table16[สัปดาห์แจ้งซ่อม],"2"))</f>
        <v>-</v>
      </c>
      <c r="K102" s="44" t="str">
        <f>IF(COUNTIFS(Table16[ประเภท],K91,Table16[ฝ่าย],A102,Table16[สัปดาห์แจ้งซ่อม],"2")=0,"-",COUNTIFS(Table16[ประเภท],K91,Table16[ฝ่าย],A102,Table16[สัปดาห์แจ้งซ่อม],"2"))</f>
        <v>-</v>
      </c>
      <c r="L102" s="44" t="str">
        <f>IF(COUNTIFS(Table16[ประเภท],L91,Table16[ฝ่าย],A102,Table16[สัปดาห์แจ้งซ่อม],"2")=0,"-",COUNTIFS(Table16[ประเภท],L91,Table16[ฝ่าย],A102,Table16[สัปดาห์แจ้งซ่อม],"2"))</f>
        <v>-</v>
      </c>
      <c r="M102" s="44" t="str">
        <f>IF(COUNTIFS(Table16[ประเภท],M91,Table16[ฝ่าย],A102,Table16[สัปดาห์แจ้งซ่อม],"2")=0,"-",COUNTIFS(Table16[ประเภท],M91,Table16[ฝ่าย],A102,Table16[สัปดาห์แจ้งซ่อม],"2"))</f>
        <v>-</v>
      </c>
      <c r="N102" s="44" t="str">
        <f>IF(COUNTIFS(Table16[ประเภท],N91,Table16[ฝ่าย],A102,Table16[สัปดาห์แจ้งซ่อม],"2")=0,"-",COUNTIFS(Table16[ประเภท],N91,Table16[ฝ่าย],A102,Table16[สัปดาห์แจ้งซ่อม],"2"))</f>
        <v>-</v>
      </c>
      <c r="O102" s="162"/>
      <c r="P102" s="190" t="str">
        <f>IF(COUNTIFS(Table16[ประเภท],P91,Table16[ฝ่าย],A102,Table16[สัปดาห์แจ้งซ่อม],"2")=0,"-",COUNTIFS(Table16[ประเภท],P91,Table16[ฝ่าย],A102,Table16[สัปดาห์แจ้งซ่อม],"2"))</f>
        <v>-</v>
      </c>
    </row>
    <row r="103" spans="1:16" ht="15" thickBot="1">
      <c r="A103" s="47" t="s">
        <v>65</v>
      </c>
      <c r="B103" s="48">
        <f>COUNTIFS(Table16[ฝ่าย],A103,Table16[สัปดาห์แจ้งซ่อม],2)</f>
        <v>0</v>
      </c>
      <c r="C103" s="50">
        <f>B103/B106</f>
        <v>0</v>
      </c>
      <c r="D103" s="44" t="str">
        <f>IF(COUNTIFS(Table16[ประเภท],D91,Table16[ฝ่าย],A103,Table16[สัปดาห์แจ้งซ่อม],"2")=0,"-",COUNTIFS(Table16[ประเภท],D91,Table16[ฝ่าย],A103,Table16[สัปดาห์แจ้งซ่อม],"2"))</f>
        <v>-</v>
      </c>
      <c r="E103" s="44" t="str">
        <f>IF(COUNTIFS(Table16[ประเภท],E91,Table16[ฝ่าย],A103,Table16[สัปดาห์แจ้งซ่อม],"2")=0,"-",COUNTIFS(Table16[ประเภท],E91,Table16[ฝ่าย],A103,Table16[สัปดาห์แจ้งซ่อม],"2"))</f>
        <v>-</v>
      </c>
      <c r="F103" s="44" t="str">
        <f>IF(COUNTIFS(Table16[ประเภท],F91,Table16[ฝ่าย],A103,Table16[สัปดาห์แจ้งซ่อม],"2")=0,"-",COUNTIFS(Table16[ประเภท],F91,Table16[ฝ่าย],A103,Table16[สัปดาห์แจ้งซ่อม],"2"))</f>
        <v>-</v>
      </c>
      <c r="G103" s="44" t="str">
        <f>IF(COUNTIFS(Table16[ประเภท],G91,Table16[ฝ่าย],A103,Table16[สัปดาห์แจ้งซ่อม],"2")=0,"-",COUNTIFS(Table16[ประเภท],G91,Table16[ฝ่าย],A103,Table16[สัปดาห์แจ้งซ่อม],"2"))</f>
        <v>-</v>
      </c>
      <c r="H103" s="44" t="str">
        <f>IF(COUNTIFS(Table16[ประเภท],H91,Table16[ฝ่าย],A103,Table16[สัปดาห์แจ้งซ่อม],"2")=0,"-",COUNTIFS(Table16[ประเภท],H91,Table16[ฝ่าย],A103,Table16[สัปดาห์แจ้งซ่อม],"2"))</f>
        <v>-</v>
      </c>
      <c r="I103" s="44" t="str">
        <f>IF(COUNTIFS(Table16[ประเภท],I91,Table16[ฝ่าย],A103,Table16[สัปดาห์แจ้งซ่อม],"2")=0,"-",COUNTIFS(Table16[ประเภท],I91,Table16[ฝ่าย],A103,Table16[สัปดาห์แจ้งซ่อม],"2"))</f>
        <v>-</v>
      </c>
      <c r="J103" s="44" t="str">
        <f>IF(COUNTIFS(Table16[ประเภท],J91,Table16[ฝ่าย],A103,Table16[สัปดาห์แจ้งซ่อม],"2")=0,"-",COUNTIFS(Table16[ประเภท],J91,Table16[ฝ่าย],A103,Table16[สัปดาห์แจ้งซ่อม],"2"))</f>
        <v>-</v>
      </c>
      <c r="K103" s="44" t="str">
        <f>IF(COUNTIFS(Table16[ประเภท],K91,Table16[ฝ่าย],A103,Table16[สัปดาห์แจ้งซ่อม],"2")=0,"-",COUNTIFS(Table16[ประเภท],K91,Table16[ฝ่าย],A103,Table16[สัปดาห์แจ้งซ่อม],"2"))</f>
        <v>-</v>
      </c>
      <c r="L103" s="44" t="str">
        <f>IF(COUNTIFS(Table16[ประเภท],L91,Table16[ฝ่าย],A103,Table16[สัปดาห์แจ้งซ่อม],"2")=0,"-",COUNTIFS(Table16[ประเภท],L91,Table16[ฝ่าย],A103,Table16[สัปดาห์แจ้งซ่อม],"2"))</f>
        <v>-</v>
      </c>
      <c r="M103" s="44" t="str">
        <f>IF(COUNTIFS(Table16[ประเภท],M91,Table16[ฝ่าย],A103,Table16[สัปดาห์แจ้งซ่อม],"2")=0,"-",COUNTIFS(Table16[ประเภท],M91,Table16[ฝ่าย],A103,Table16[สัปดาห์แจ้งซ่อม],"2"))</f>
        <v>-</v>
      </c>
      <c r="N103" s="44" t="str">
        <f>IF(COUNTIFS(Table16[ประเภท],N91,Table16[ฝ่าย],A103,Table16[สัปดาห์แจ้งซ่อม],"2")=0,"-",COUNTIFS(Table16[ประเภท],N91,Table16[ฝ่าย],A103,Table16[สัปดาห์แจ้งซ่อม],"2"))</f>
        <v>-</v>
      </c>
      <c r="O103" s="162"/>
      <c r="P103" s="190" t="str">
        <f>IF(COUNTIFS(Table16[ประเภท],P91,Table16[ฝ่าย],A103,Table16[สัปดาห์แจ้งซ่อม],"2")=0,"-",COUNTIFS(Table16[ประเภท],P91,Table16[ฝ่าย],A103,Table16[สัปดาห์แจ้งซ่อม],"2"))</f>
        <v>-</v>
      </c>
    </row>
    <row r="104" spans="1:16" ht="15" thickBot="1">
      <c r="A104" s="47" t="s">
        <v>66</v>
      </c>
      <c r="B104" s="48">
        <f>COUNTIFS(Table16[ฝ่าย],A104,Table16[สัปดาห์แจ้งซ่อม],2)</f>
        <v>0</v>
      </c>
      <c r="C104" s="50">
        <f>B104/B106</f>
        <v>0</v>
      </c>
      <c r="D104" s="44" t="str">
        <f>IF(COUNTIFS(Table16[ประเภท],D91,Table16[ฝ่าย],A104,Table16[สัปดาห์แจ้งซ่อม],"2")=0,"-",COUNTIFS(Table16[ประเภท],D91,Table16[ฝ่าย],A101,Table16[สัปดาห์แจ้งซ่อม],"2"))</f>
        <v>-</v>
      </c>
      <c r="E104" s="44" t="str">
        <f>IF(COUNTIFS(Table16[ประเภท],E91,Table16[ฝ่าย],A104,Table16[สัปดาห์แจ้งซ่อม],"2")=0,"-",COUNTIFS(Table16[ประเภท],E91,Table16[ฝ่าย],A101,Table16[สัปดาห์แจ้งซ่อม],"2"))</f>
        <v>-</v>
      </c>
      <c r="F104" s="44" t="str">
        <f>IF(COUNTIFS(Table16[ประเภท],F91,Table16[ฝ่าย],A104,Table16[สัปดาห์แจ้งซ่อม],"2")=0,"-",COUNTIFS(Table16[ประเภท],F91,Table16[ฝ่าย],A104,Table16[สัปดาห์แจ้งซ่อม],"2"))</f>
        <v>-</v>
      </c>
      <c r="G104" s="44" t="str">
        <f>IF(COUNTIFS(Table16[ประเภท],G91,Table16[ฝ่าย],A104,Table16[สัปดาห์แจ้งซ่อม],"2")=0,"-",COUNTIFS(Table16[ประเภท],G91,Table16[ฝ่าย],A104,Table16[สัปดาห์แจ้งซ่อม],"2"))</f>
        <v>-</v>
      </c>
      <c r="H104" s="44" t="str">
        <f>IF(COUNTIFS(Table16[ประเภท],H91,Table16[ฝ่าย],A104,Table16[สัปดาห์แจ้งซ่อม],"2")=0,"-",COUNTIFS(Table16[ประเภท],H91,Table16[ฝ่าย],A104,Table16[สัปดาห์แจ้งซ่อม],"2"))</f>
        <v>-</v>
      </c>
      <c r="I104" s="44" t="str">
        <f>IF(COUNTIFS(Table16[ประเภท],I91,Table16[ฝ่าย],A104,Table16[สัปดาห์แจ้งซ่อม],"2")=0,"-",COUNTIFS(Table16[ประเภท],I91,Table16[ฝ่าย],A104,Table16[สัปดาห์แจ้งซ่อม],"2"))</f>
        <v>-</v>
      </c>
      <c r="J104" s="44" t="str">
        <f>IF(COUNTIFS(Table16[ประเภท],J91,Table16[ฝ่าย],A104,Table16[สัปดาห์แจ้งซ่อม],"2")=0,"-",COUNTIFS(Table16[ประเภท],J91,Table16[ฝ่าย],A104,Table16[สัปดาห์แจ้งซ่อม],"2"))</f>
        <v>-</v>
      </c>
      <c r="K104" s="44" t="str">
        <f>IF(COUNTIFS(Table16[ประเภท],K91,Table16[ฝ่าย],A104,Table16[สัปดาห์แจ้งซ่อม],"2")=0,"-",COUNTIFS(Table16[ประเภท],K91,Table16[ฝ่าย],A104,Table16[สัปดาห์แจ้งซ่อม],"2"))</f>
        <v>-</v>
      </c>
      <c r="L104" s="44" t="str">
        <f>IF(COUNTIFS(Table16[ประเภท],L91,Table16[ฝ่าย],A104,Table16[สัปดาห์แจ้งซ่อม],"2")=0,"-",COUNTIFS(Table16[ประเภท],L91,Table16[ฝ่าย],A104,Table16[สัปดาห์แจ้งซ่อม],"2"))</f>
        <v>-</v>
      </c>
      <c r="M104" s="44" t="str">
        <f>IF(COUNTIFS(Table16[ประเภท],M91,Table16[ฝ่าย],A104,Table16[สัปดาห์แจ้งซ่อม],"2")=0,"-",COUNTIFS(Table16[ประเภท],M91,Table16[ฝ่าย],A104,Table16[สัปดาห์แจ้งซ่อม],"2"))</f>
        <v>-</v>
      </c>
      <c r="N104" s="44" t="str">
        <f>IF(COUNTIFS(Table16[ประเภท],N91,Table16[ฝ่าย],A104,Table16[สัปดาห์แจ้งซ่อม],"2")=0,"-",COUNTIFS(Table16[ประเภท],N91,Table16[ฝ่าย],A104,Table16[สัปดาห์แจ้งซ่อม],"2"))</f>
        <v>-</v>
      </c>
      <c r="O104" s="162"/>
      <c r="P104" s="190" t="str">
        <f>IF(COUNTIFS(Table16[ประเภท],P91,Table16[ฝ่าย],A104,Table16[สัปดาห์แจ้งซ่อม],"2")=0,"-",COUNTIFS(Table16[ประเภท],P91,Table16[ฝ่าย],A104,Table16[สัปดาห์แจ้งซ่อม],"2"))</f>
        <v>-</v>
      </c>
    </row>
    <row r="105" spans="1:16" ht="15" thickBot="1">
      <c r="A105" s="47" t="s">
        <v>120</v>
      </c>
      <c r="B105" s="48">
        <f>COUNTIFS(Table16[ฝ่าย],A105,Table16[สัปดาห์แจ้งซ่อม],2)</f>
        <v>2</v>
      </c>
      <c r="C105" s="50">
        <f>B105/B106</f>
        <v>0.14285714285714285</v>
      </c>
      <c r="D105" s="44" t="str">
        <f>IF(COUNTIFS(Table16[ประเภท],D91,Table16[ฝ่าย],A105,Table16[สัปดาห์แจ้งซ่อม],"2")=0,"-",COUNTIFS(Table16[ประเภท],D91,Table16[ฝ่าย],A105,Table16[สัปดาห์แจ้งซ่อม],"2"))</f>
        <v>-</v>
      </c>
      <c r="E105" s="44" t="str">
        <f>IF(COUNTIFS(Table16[ประเภท],E91,Table16[ฝ่าย],A105,Table16[สัปดาห์แจ้งซ่อม],"2")=0,"-",COUNTIFS(Table16[ประเภท],E91,Table16[ฝ่าย],A105,Table16[สัปดาห์แจ้งซ่อม],"2"))</f>
        <v>-</v>
      </c>
      <c r="F105" s="44" t="str">
        <f>IF(COUNTIFS(Table16[ประเภท],F91,Table16[ฝ่าย],A105,Table16[สัปดาห์แจ้งซ่อม],"2")=0,"-",COUNTIFS(Table16[ประเภท],F91,Table16[ฝ่าย],A105,Table16[สัปดาห์แจ้งซ่อม],"2"))</f>
        <v>-</v>
      </c>
      <c r="G105" s="44" t="str">
        <f>IF(COUNTIFS(Table16[ประเภท],G91,Table16[ฝ่าย],A105,Table16[สัปดาห์แจ้งซ่อม],"2")=0,"-",COUNTIFS(Table16[ประเภท],G91,Table16[ฝ่าย],A105,Table16[สัปดาห์แจ้งซ่อม],"2"))</f>
        <v>-</v>
      </c>
      <c r="H105" s="44">
        <f>IF(COUNTIFS(Table16[ประเภท],H91,Table16[ฝ่าย],A105,Table16[สัปดาห์แจ้งซ่อม],"2")=0,"-",COUNTIFS(Table16[ประเภท],H91,Table16[ฝ่าย],A105,Table16[สัปดาห์แจ้งซ่อม],"2"))</f>
        <v>1</v>
      </c>
      <c r="I105" s="44" t="str">
        <f>IF(COUNTIFS(Table16[ประเภท],I91,Table16[ฝ่าย],A105,Table16[สัปดาห์แจ้งซ่อม],"2")=0,"-",COUNTIFS(Table16[ประเภท],I91,Table16[ฝ่าย],A105,Table16[สัปดาห์แจ้งซ่อม],"2"))</f>
        <v>-</v>
      </c>
      <c r="J105" s="44" t="str">
        <f>IF(COUNTIFS(Table16[ประเภท],J91,Table16[ฝ่าย],A105,Table16[สัปดาห์แจ้งซ่อม],"2")=0,"-",COUNTIFS(Table16[ประเภท],J91,Table16[ฝ่าย],A105,Table16[สัปดาห์แจ้งซ่อม],"2"))</f>
        <v>-</v>
      </c>
      <c r="K105" s="44" t="str">
        <f>IF(COUNTIFS(Table16[ประเภท],K91,Table16[ฝ่าย],A105,Table16[สัปดาห์แจ้งซ่อม],"2")=0,"-",COUNTIFS(Table16[ประเภท],K91,Table16[ฝ่าย],A105,Table16[สัปดาห์แจ้งซ่อม],"2"))</f>
        <v>-</v>
      </c>
      <c r="L105" s="44" t="str">
        <f>IF(COUNTIFS(Table16[ประเภท],L91,Table16[ฝ่าย],A105,Table16[สัปดาห์แจ้งซ่อม],"2")=0,"-",COUNTIFS(Table16[ประเภท],L91,Table16[ฝ่าย],A105,Table16[สัปดาห์แจ้งซ่อม],"2"))</f>
        <v>-</v>
      </c>
      <c r="M105" s="44" t="str">
        <f>IF(COUNTIFS(Table16[ประเภท],M91,Table16[ฝ่าย],A105,Table16[สัปดาห์แจ้งซ่อม],"2")=0,"-",COUNTIFS(Table16[ประเภท],M91,Table16[ฝ่าย],A105,Table16[สัปดาห์แจ้งซ่อม],"2"))</f>
        <v>-</v>
      </c>
      <c r="N105" s="44">
        <f>IF(COUNTIFS(Table16[ประเภท],N91,Table16[ฝ่าย],A105,Table16[สัปดาห์แจ้งซ่อม],"2")=0,"-",COUNTIFS(Table16[ประเภท],N91,Table16[ฝ่าย],A105,Table16[สัปดาห์แจ้งซ่อม],"2"))</f>
        <v>1</v>
      </c>
      <c r="O105" s="162"/>
      <c r="P105" s="190" t="str">
        <f>IF(COUNTIFS(Table16[ประเภท],P91,Table16[ฝ่าย],A105,Table16[สัปดาห์แจ้งซ่อม],"2")=0,"-",COUNTIFS(Table16[ประเภท],P91,Table16[ฝ่าย],A105,Table16[สัปดาห์แจ้งซ่อม],"2"))</f>
        <v>-</v>
      </c>
    </row>
    <row r="106" spans="1:16" ht="15" thickBot="1">
      <c r="A106" s="51" t="s">
        <v>67</v>
      </c>
      <c r="B106" s="52">
        <f>SUM(B92:B105)</f>
        <v>14</v>
      </c>
      <c r="C106" s="53">
        <f t="shared" ref="C106" si="5">SUM(C92:C104)</f>
        <v>0.8571428571428571</v>
      </c>
      <c r="D106" s="52">
        <f>SUM(D92:D105)</f>
        <v>0</v>
      </c>
      <c r="E106" s="52">
        <f t="shared" ref="E106:P106" si="6">SUM(E92:E105)</f>
        <v>3</v>
      </c>
      <c r="F106" s="52">
        <f t="shared" si="6"/>
        <v>3</v>
      </c>
      <c r="G106" s="52">
        <f t="shared" si="6"/>
        <v>1</v>
      </c>
      <c r="H106" s="52">
        <f t="shared" si="6"/>
        <v>1</v>
      </c>
      <c r="I106" s="52">
        <f t="shared" si="6"/>
        <v>0</v>
      </c>
      <c r="J106" s="52">
        <f t="shared" si="6"/>
        <v>2</v>
      </c>
      <c r="K106" s="52">
        <f t="shared" si="6"/>
        <v>2</v>
      </c>
      <c r="L106" s="52">
        <f t="shared" si="6"/>
        <v>1</v>
      </c>
      <c r="M106" s="52">
        <f t="shared" si="6"/>
        <v>0</v>
      </c>
      <c r="N106" s="52">
        <f t="shared" si="6"/>
        <v>1</v>
      </c>
      <c r="O106" s="163">
        <f t="shared" si="6"/>
        <v>0</v>
      </c>
      <c r="P106" s="163">
        <f t="shared" si="6"/>
        <v>0</v>
      </c>
    </row>
    <row r="107" spans="1:16" ht="15" thickBot="1">
      <c r="A107" s="54" t="s">
        <v>68</v>
      </c>
      <c r="B107" s="55">
        <f>COUNTIFS(Table16[สถานะ],"เรียบร้อย",Table16[สัปดาห์ที่แก้ไข],2)</f>
        <v>3</v>
      </c>
      <c r="C107" s="56"/>
      <c r="D107" s="2"/>
      <c r="E107" s="2"/>
      <c r="F107" s="2"/>
      <c r="G107" s="2"/>
      <c r="H107" s="2"/>
      <c r="I107" s="2"/>
      <c r="J107" s="2"/>
      <c r="K107" s="2"/>
      <c r="L107" s="2"/>
    </row>
    <row r="108" spans="1:16" ht="15" thickBot="1">
      <c r="A108" s="57" t="s">
        <v>69</v>
      </c>
      <c r="B108" s="58">
        <f>COUNTIFS(Table16[สถานะ],"กำลังดำเนินการ",Table16[สัปดาห์แจ้งซ่อม],2)</f>
        <v>0</v>
      </c>
      <c r="C108" s="56"/>
      <c r="D108" s="2"/>
      <c r="E108" s="2"/>
      <c r="F108" s="2"/>
      <c r="G108" s="2"/>
      <c r="H108" s="2"/>
      <c r="I108" s="2"/>
      <c r="J108" s="2"/>
      <c r="K108" s="2"/>
      <c r="L108" s="2"/>
    </row>
    <row r="109" spans="1:16" ht="15" thickBot="1">
      <c r="A109" s="59" t="s">
        <v>3</v>
      </c>
      <c r="B109" s="60">
        <f>COUNTIFS(Table16[สถานะ],"รอดำเนินการ",Table16[สัปดาห์แจ้งซ่อม],2)</f>
        <v>0</v>
      </c>
      <c r="C109" s="56"/>
      <c r="D109" s="2"/>
      <c r="E109" s="2"/>
      <c r="F109" s="2"/>
      <c r="G109" s="2"/>
      <c r="H109" s="2"/>
      <c r="I109" s="2"/>
      <c r="J109" s="2"/>
      <c r="K109" s="2"/>
      <c r="L109" s="2"/>
    </row>
    <row r="110" spans="1:16" ht="16.2" thickBot="1">
      <c r="A110" s="61" t="s">
        <v>70</v>
      </c>
      <c r="B110" s="62">
        <f>COUNTIFS(Table16[สถานะ],"โอนย้าย",Table16[สัปดาห์แจ้งซ่อม],2)</f>
        <v>7</v>
      </c>
    </row>
    <row r="111" spans="1:16" ht="30" customHeight="1" thickBot="1">
      <c r="A111" s="312" t="s">
        <v>370</v>
      </c>
      <c r="B111" s="303"/>
      <c r="C111" s="303"/>
      <c r="D111" s="303"/>
      <c r="E111" s="303"/>
      <c r="F111" s="303"/>
      <c r="G111" s="303"/>
      <c r="H111" s="303"/>
      <c r="I111" s="303"/>
      <c r="J111" s="303"/>
      <c r="K111" s="303"/>
      <c r="L111" s="303"/>
      <c r="M111" s="303"/>
      <c r="N111" s="303"/>
      <c r="O111" s="303"/>
      <c r="P111" s="303"/>
    </row>
    <row r="112" spans="1:16" ht="18.600000000000001" thickBot="1">
      <c r="A112" s="304" t="s">
        <v>368</v>
      </c>
      <c r="B112" s="304" t="s">
        <v>42</v>
      </c>
      <c r="C112" s="306" t="s">
        <v>43</v>
      </c>
      <c r="D112" s="308" t="s">
        <v>44</v>
      </c>
      <c r="E112" s="309"/>
      <c r="F112" s="309"/>
      <c r="G112" s="309"/>
      <c r="H112" s="309"/>
      <c r="I112" s="309"/>
      <c r="J112" s="309"/>
      <c r="K112" s="309"/>
      <c r="L112" s="309"/>
      <c r="M112" s="309"/>
      <c r="N112" s="309"/>
      <c r="O112" s="309"/>
      <c r="P112" s="309"/>
    </row>
    <row r="113" spans="1:19" ht="15" thickBot="1">
      <c r="A113" s="305"/>
      <c r="B113" s="305"/>
      <c r="C113" s="307"/>
      <c r="D113" s="43" t="s">
        <v>45</v>
      </c>
      <c r="E113" s="43" t="s">
        <v>46</v>
      </c>
      <c r="F113" s="44" t="s">
        <v>47</v>
      </c>
      <c r="G113" s="44" t="s">
        <v>48</v>
      </c>
      <c r="H113" s="44" t="s">
        <v>49</v>
      </c>
      <c r="I113" s="44" t="s">
        <v>50</v>
      </c>
      <c r="J113" s="44" t="s">
        <v>51</v>
      </c>
      <c r="K113" s="44" t="s">
        <v>52</v>
      </c>
      <c r="L113" s="45" t="s">
        <v>53</v>
      </c>
      <c r="M113" s="46" t="s">
        <v>72</v>
      </c>
      <c r="N113" s="46" t="s">
        <v>117</v>
      </c>
      <c r="O113" s="189" t="s">
        <v>376</v>
      </c>
      <c r="P113" s="189" t="s">
        <v>357</v>
      </c>
    </row>
    <row r="114" spans="1:19" ht="15" thickBot="1">
      <c r="A114" s="47" t="s">
        <v>54</v>
      </c>
      <c r="B114" s="65">
        <f>COUNTIFS(Table16[ฝ่าย],A114,Table16[สัปดาห์แจ้งซ่อม],3)</f>
        <v>4</v>
      </c>
      <c r="C114" s="49">
        <f>B114/B128</f>
        <v>0.5714285714285714</v>
      </c>
      <c r="D114" s="44" t="str">
        <f>IF(COUNTIFS(Table16[ประเภท],D113,Table16[ฝ่าย],A114,Table16[สัปดาห์แจ้งซ่อม],"3")=0,"-",COUNTIFS(Table16[ประเภท],D113,Table16[ฝ่าย],A114,Table16[สัปดาห์แจ้งซ่อม],"3"))</f>
        <v>-</v>
      </c>
      <c r="E114" s="44" t="str">
        <f>IF(COUNTIFS(Table16[ประเภท],E113,Table16[ฝ่าย],A114,Table16[สัปดาห์แจ้งซ่อม],"3")=0,"-",COUNTIFS(Table16[ประเภท],E113,Table16[ฝ่าย],A114,Table16[สัปดาห์แจ้งซ่อม],"3"))</f>
        <v>-</v>
      </c>
      <c r="F114" s="44" t="str">
        <f>IF(COUNTIFS(Table16[ประเภท],F113,Table16[ฝ่าย],A114,Table16[สัปดาห์แจ้งซ่อม],"3")=0,"-",COUNTIFS(Table16[ประเภท],F113,Table16[ฝ่าย],A114,Table16[สัปดาห์แจ้งซ่อม],"3"))</f>
        <v>-</v>
      </c>
      <c r="G114" s="44" t="str">
        <f>IF(COUNTIFS(Table16[ประเภท],G113,Table16[ฝ่าย],A114,Table16[สัปดาห์แจ้งซ่อม],"3")=0,"-",COUNTIFS(Table16[ประเภท],G113,Table16[ฝ่าย],A114,Table16[สัปดาห์แจ้งซ่อม],"3"))</f>
        <v>-</v>
      </c>
      <c r="H114" s="44" t="str">
        <f>IF(COUNTIFS(Table16[ประเภท],H113,Table16[ฝ่าย],A114,Table16[สัปดาห์แจ้งซ่อม],"3")=0,"-",COUNTIFS(Table16[ประเภท],H113,Table16[ฝ่าย],A114,Table16[สัปดาห์แจ้งซ่อม],"3"))</f>
        <v>-</v>
      </c>
      <c r="I114" s="44" t="str">
        <f>IF(COUNTIFS(Table16[ประเภท],I113,Table16[ฝ่าย],A114,Table16[สัปดาห์แจ้งซ่อม],"3")=0,"-",COUNTIFS(Table16[ประเภท],I113,Table16[ฝ่าย],A114,Table16[สัปดาห์แจ้งซ่อม],"3"))</f>
        <v>-</v>
      </c>
      <c r="J114" s="44">
        <f>IF(COUNTIFS(Table16[ประเภท],J113,Table16[ฝ่าย],A114,Table16[สัปดาห์แจ้งซ่อม],"3")=0,"-",COUNTIFS(Table16[ประเภท],J113,Table16[ฝ่าย],A114,Table16[สัปดาห์แจ้งซ่อม],"3"))</f>
        <v>1</v>
      </c>
      <c r="K114" s="44">
        <f>IF(COUNTIFS(Table16[ประเภท],K113,Table16[ฝ่าย],A114,Table16[สัปดาห์แจ้งซ่อม],"3")=0,"-",COUNTIFS(Table16[ประเภท],K113,Table16[ฝ่าย],A114,Table16[สัปดาห์แจ้งซ่อม],"3"))</f>
        <v>2</v>
      </c>
      <c r="L114" s="44">
        <f>IF(COUNTIFS(Table16[ประเภท],L113,Table16[ฝ่าย],A114,Table16[สัปดาห์แจ้งซ่อม],"3")=0,"-",COUNTIFS(Table16[ประเภท],L113,Table16[ฝ่าย],A114,Table16[สัปดาห์แจ้งซ่อม],"3"))</f>
        <v>1</v>
      </c>
      <c r="M114" s="44" t="str">
        <f>IF(COUNTIFS(Table16[ประเภท],M113,Table16[ฝ่าย],A114,Table16[สัปดาห์แจ้งซ่อม],"3")=0,"-",COUNTIFS(Table16[ประเภท],M113,Table16[ฝ่าย],A114,Table16[สัปดาห์แจ้งซ่อม],"3"))</f>
        <v>-</v>
      </c>
      <c r="N114" s="44" t="str">
        <f>IF(COUNTIFS(Table16[ประเภท],N113,Table16[ฝ่าย],A114,Table16[สัปดาห์แจ้งซ่อม],"3")=0,"-",COUNTIFS(Table16[ประเภท],N113,Table16[ฝ่าย],A114,Table16[สัปดาห์แจ้งซ่อม],"3"))</f>
        <v>-</v>
      </c>
      <c r="O114" s="201" t="str">
        <f>IF(COUNTIFS(Table16[ประเภท],O113,Table16[ฝ่าย],A114,Table16[สัปดาห์แจ้งซ่อม],"3")=0,"-",COUNTIFS(Table16[ประเภท],O113,Table16[ฝ่าย],A114,Table16[สัปดาห์แจ้งซ่อม],"3"))</f>
        <v>-</v>
      </c>
      <c r="P114" s="189" t="str">
        <f>IF(COUNTIFS(Table16[ประเภท],P113,Table16[ฝ่าย],A114,Table16[สัปดาห์แจ้งซ่อม],"3")=0,"-",COUNTIFS(Table16[ประเภท],P113,Table16[ฝ่าย],A114,Table16[สัปดาห์แจ้งซ่อม],"3"))</f>
        <v>-</v>
      </c>
    </row>
    <row r="115" spans="1:19" ht="15" thickBot="1">
      <c r="A115" s="47" t="s">
        <v>55</v>
      </c>
      <c r="B115" s="65">
        <f>COUNTIFS(Table16[ฝ่าย],A115,Table16[สัปดาห์แจ้งซ่อม],3)</f>
        <v>1</v>
      </c>
      <c r="C115" s="49">
        <f>B115/B128</f>
        <v>0.14285714285714285</v>
      </c>
      <c r="D115" s="44" t="str">
        <f>IF(COUNTIFS(Table16[ประเภท],D113,Table16[ฝ่าย],A115,Table16[สัปดาห์แจ้งซ่อม],"3")=0,"-",COUNTIFS(Table16[ประเภท],D113,Table16[ฝ่าย],A115,Table16[สัปดาห์แจ้งซ่อม],"3"))</f>
        <v>-</v>
      </c>
      <c r="E115" s="44" t="str">
        <f>IF(COUNTIFS(Table16[ประเภท],E113,Table16[ฝ่าย],A115,Table16[สัปดาห์แจ้งซ่อม],"3")=0,"-",COUNTIFS(Table16[ประเภท],E113,Table16[ฝ่าย],A115,Table16[สัปดาห์แจ้งซ่อม],"3"))</f>
        <v>-</v>
      </c>
      <c r="F115" s="44" t="str">
        <f>IF(COUNTIFS(Table16[ประเภท],F113,Table16[ฝ่าย],A115,Table16[สัปดาห์แจ้งซ่อม],"3")=0,"-",COUNTIFS(Table16[ประเภท],F113,Table16[ฝ่าย],A115,Table16[สัปดาห์แจ้งซ่อม],"3"))</f>
        <v>-</v>
      </c>
      <c r="G115" s="44" t="str">
        <f>IF(COUNTIFS(Table16[ประเภท],G113,Table16[ฝ่าย],A115,Table16[สัปดาห์แจ้งซ่อม],"3")=0,"-",COUNTIFS(Table16[ประเภท],G113,Table16[ฝ่าย],A115,Table16[สัปดาห์แจ้งซ่อม],"3"))</f>
        <v>-</v>
      </c>
      <c r="H115" s="44" t="str">
        <f>IF(COUNTIFS(Table16[ประเภท],H113,Table16[ฝ่าย],A115,Table16[สัปดาห์แจ้งซ่อม],"3")=0,"-",COUNTIFS(Table16[ประเภท],H113,Table16[ฝ่าย],A115,Table16[สัปดาห์แจ้งซ่อม],"3"))</f>
        <v>-</v>
      </c>
      <c r="I115" s="44">
        <f>IF(COUNTIFS(Table16[ประเภท],I113,Table16[ฝ่าย],A115,Table16[สัปดาห์แจ้งซ่อม],"3")=0,"-",COUNTIFS(Table16[ประเภท],I113,Table16[ฝ่าย],A115,Table16[สัปดาห์แจ้งซ่อม],"3"))</f>
        <v>1</v>
      </c>
      <c r="J115" s="44" t="str">
        <f>IF(COUNTIFS(Table16[ประเภท],J113,Table16[ฝ่าย],A115,Table16[สัปดาห์แจ้งซ่อม],"3")=0,"-",COUNTIFS(Table16[ประเภท],J113,Table16[ฝ่าย],A115,Table16[สัปดาห์แจ้งซ่อม],"3"))</f>
        <v>-</v>
      </c>
      <c r="K115" s="44" t="str">
        <f>IF(COUNTIFS(Table16[ประเภท],K113,Table16[ฝ่าย],A115,Table16[สัปดาห์แจ้งซ่อม],"3")=0,"-",COUNTIFS(Table16[ประเภท],K113,Table16[ฝ่าย],A115,Table16[สัปดาห์แจ้งซ่อม],"3"))</f>
        <v>-</v>
      </c>
      <c r="L115" s="44" t="str">
        <f>IF(COUNTIFS(Table16[ประเภท],L113,Table16[ฝ่าย],A115,Table16[สัปดาห์แจ้งซ่อม],"3")=0,"-",COUNTIFS(Table16[ประเภท],L113,Table16[ฝ่าย],A115,Table16[สัปดาห์แจ้งซ่อม],"3"))</f>
        <v>-</v>
      </c>
      <c r="M115" s="44" t="str">
        <f>IF(COUNTIFS(Table16[ประเภท],M113,Table16[ฝ่าย],A115,Table16[สัปดาห์แจ้งซ่อม],"3")=0,"-",COUNTIFS(Table16[ประเภท],M113,Table16[ฝ่าย],A115,Table16[สัปดาห์แจ้งซ่อม],"3"))</f>
        <v>-</v>
      </c>
      <c r="N115" s="44" t="str">
        <f>IF(COUNTIFS(Table16[ประเภท],N113,Table16[ฝ่าย],A115,Table16[สัปดาห์แจ้งซ่อม],"3")=0,"-",COUNTIFS(Table16[ประเภท],N113,Table16[ฝ่าย],A115,Table16[สัปดาห์แจ้งซ่อม],"3"))</f>
        <v>-</v>
      </c>
      <c r="O115" s="201"/>
      <c r="P115" s="189" t="str">
        <f>IF(COUNTIFS(Table16[ประเภท],P113,Table16[ฝ่าย],A115,Table16[สัปดาห์แจ้งซ่อม],"3")=0,"-",COUNTIFS(Table16[ประเภท],P113,Table16[ฝ่าย],A115,Table16[สัปดาห์แจ้งซ่อม],"3"))</f>
        <v>-</v>
      </c>
    </row>
    <row r="116" spans="1:19" ht="15" thickBot="1">
      <c r="A116" s="47" t="s">
        <v>56</v>
      </c>
      <c r="B116" s="65">
        <f>COUNTIFS(Table16[ฝ่าย],A116,Table16[สัปดาห์แจ้งซ่อม],3)</f>
        <v>1</v>
      </c>
      <c r="C116" s="49">
        <f>B116/B128</f>
        <v>0.14285714285714285</v>
      </c>
      <c r="D116" s="44" t="str">
        <f>IF(COUNTIFS(Table16[ประเภท],D113,Table16[ฝ่าย],A116,Table16[สัปดาห์แจ้งซ่อม],"3")=0,"-",COUNTIFS(Table16[ประเภท],D113,Table16[ฝ่าย],A116,Table16[สัปดาห์แจ้งซ่อม],"3"))</f>
        <v>-</v>
      </c>
      <c r="E116" s="44" t="str">
        <f>IF(COUNTIFS(Table16[ประเภท],E113,Table16[ฝ่าย],A116,Table16[สัปดาห์แจ้งซ่อม],"3")=0,"-",COUNTIFS(Table16[ประเภท],E113,Table16[ฝ่าย],A116,Table16[สัปดาห์แจ้งซ่อม],"3"))</f>
        <v>-</v>
      </c>
      <c r="F116" s="44" t="str">
        <f>IF(COUNTIFS(Table16[ประเภท],F113,Table16[ฝ่าย],A116,Table16[สัปดาห์แจ้งซ่อม],"3")=0,"-",COUNTIFS(Table16[ประเภท],F113,Table16[ฝ่าย],A116,Table16[สัปดาห์แจ้งซ่อม],"3"))</f>
        <v>-</v>
      </c>
      <c r="G116" s="44" t="str">
        <f>IF(COUNTIFS(Table16[ประเภท],G113,Table16[ฝ่าย],A116,Table16[สัปดาห์แจ้งซ่อม],"3")=0,"-",COUNTIFS(Table16[ประเภท],G113,Table16[ฝ่าย],A116,Table16[สัปดาห์แจ้งซ่อม],"3"))</f>
        <v>-</v>
      </c>
      <c r="H116" s="44" t="str">
        <f>IF(COUNTIFS(Table16[ประเภท],H113,Table16[ฝ่าย],A116,Table16[สัปดาห์แจ้งซ่อม],"3")=0,"-",COUNTIFS(Table16[ประเภท],H113,Table16[ฝ่าย],A116,Table16[สัปดาห์แจ้งซ่อม],"3"))</f>
        <v>-</v>
      </c>
      <c r="I116" s="44" t="str">
        <f>IF(COUNTIFS(Table16[ประเภท],I113,Table16[ฝ่าย],A116,Table16[สัปดาห์แจ้งซ่อม],"3")=0,"-",COUNTIFS(Table16[ประเภท],I113,Table16[ฝ่าย],A116,Table16[สัปดาห์แจ้งซ่อม],"3"))</f>
        <v>-</v>
      </c>
      <c r="J116" s="44" t="str">
        <f>IF(COUNTIFS(Table16[ประเภท],J113,Table16[ฝ่าย],A116,Table16[สัปดาห์แจ้งซ่อม],"3")=0,"-",COUNTIFS(Table16[ประเภท],J113,Table16[ฝ่าย],A116,Table16[สัปดาห์แจ้งซ่อม],"3"))</f>
        <v>-</v>
      </c>
      <c r="K116" s="44">
        <f>IF(COUNTIFS(Table16[ประเภท],K113,Table16[ฝ่าย],A116,Table16[สัปดาห์แจ้งซ่อม],"3")=0,"-",COUNTIFS(Table16[ประเภท],K113,Table16[ฝ่าย],A116,Table16[สัปดาห์แจ้งซ่อม],"3"))</f>
        <v>1</v>
      </c>
      <c r="L116" s="44" t="str">
        <f>IF(COUNTIFS(Table16[ประเภท],L113,Table16[ฝ่าย],A116,Table16[สัปดาห์แจ้งซ่อม],"3")=0,"-",COUNTIFS(Table16[ประเภท],L113,Table16[ฝ่าย],A116,Table16[สัปดาห์แจ้งซ่อม],"3"))</f>
        <v>-</v>
      </c>
      <c r="M116" s="44" t="str">
        <f>IF(COUNTIFS(Table16[ประเภท],M113,Table16[ฝ่าย],A116,Table16[สัปดาห์แจ้งซ่อม],"3")=0,"-",COUNTIFS(Table16[ประเภท],M113,Table16[ฝ่าย],A116,Table16[สัปดาห์แจ้งซ่อม],"3"))</f>
        <v>-</v>
      </c>
      <c r="N116" s="44" t="str">
        <f>IF(COUNTIFS(Table16[ประเภท],N113,Table16[ฝ่าย],A116,Table16[สัปดาห์แจ้งซ่อม],"3")=0,"-",COUNTIFS(Table16[ประเภท],N113,Table16[ฝ่าย],A116,Table16[สัปดาห์แจ้งซ่อม],"3"))</f>
        <v>-</v>
      </c>
      <c r="O116" s="201"/>
      <c r="P116" s="189" t="str">
        <f>IF(COUNTIFS(Table16[ประเภท],P113,Table16[ฝ่าย],A116,Table16[สัปดาห์แจ้งซ่อม],"3")=0,"-",COUNTIFS(Table16[ประเภท],P113,Table16[ฝ่าย],A116,Table16[สัปดาห์แจ้งซ่อม],"3"))</f>
        <v>-</v>
      </c>
    </row>
    <row r="117" spans="1:19" ht="15" thickBot="1">
      <c r="A117" s="47" t="s">
        <v>57</v>
      </c>
      <c r="B117" s="65">
        <f>COUNTIFS(Table16[ฝ่าย],A117,Table16[สัปดาห์แจ้งซ่อม],3)</f>
        <v>0</v>
      </c>
      <c r="C117" s="64">
        <f>B117/B128</f>
        <v>0</v>
      </c>
      <c r="D117" s="44" t="str">
        <f>IF(COUNTIFS(Table16[ประเภท],D113,Table16[ฝ่าย],A117,Table16[สัปดาห์แจ้งซ่อม],"3")=0,"-",COUNTIFS(Table16[ประเภท],D113,Table16[ฝ่าย],A117,Table16[สัปดาห์แจ้งซ่อม],"3"))</f>
        <v>-</v>
      </c>
      <c r="E117" s="44" t="str">
        <f>IF(COUNTIFS(Table16[ประเภท],E113,Table16[ฝ่าย],A117,Table16[สัปดาห์แจ้งซ่อม],"3")=0,"-",COUNTIFS(Table16[ประเภท],E113,Table16[ฝ่าย],A117,Table16[สัปดาห์แจ้งซ่อม],"3"))</f>
        <v>-</v>
      </c>
      <c r="F117" s="44" t="str">
        <f>IF(COUNTIFS(Table16[ประเภท],F113,Table16[ฝ่าย],A117,Table16[สัปดาห์แจ้งซ่อม],"3")=0,"-",COUNTIFS(Table16[ประเภท],F113,Table16[ฝ่าย],A117,Table16[สัปดาห์แจ้งซ่อม],"3"))</f>
        <v>-</v>
      </c>
      <c r="G117" s="44" t="str">
        <f>IF(COUNTIFS(Table16[ประเภท],G113,Table16[ฝ่าย],A117,Table16[สัปดาห์แจ้งซ่อม],"3")=0,"-",COUNTIFS(Table16[ประเภท],G113,Table16[ฝ่าย],A117,Table16[สัปดาห์แจ้งซ่อม],"3"))</f>
        <v>-</v>
      </c>
      <c r="H117" s="44" t="str">
        <f>IF(COUNTIFS(Table16[ประเภท],H113,Table16[ฝ่าย],A117,Table16[สัปดาห์แจ้งซ่อม],"3")=0,"-",COUNTIFS(Table16[ประเภท],H113,Table16[ฝ่าย],A117,Table16[สัปดาห์แจ้งซ่อม],"3"))</f>
        <v>-</v>
      </c>
      <c r="I117" s="44" t="str">
        <f>IF(COUNTIFS(Table16[ประเภท],I113,Table16[ฝ่าย],A117,Table16[สัปดาห์แจ้งซ่อม],"3")=0,"-",COUNTIFS(Table16[ประเภท],I113,Table16[ฝ่าย],A117,Table16[สัปดาห์แจ้งซ่อม],"3"))</f>
        <v>-</v>
      </c>
      <c r="J117" s="44" t="str">
        <f>IF(COUNTIFS(Table16[ประเภท],J113,Table16[ฝ่าย],A117,Table16[สัปดาห์แจ้งซ่อม],"3")=0,"-",COUNTIFS(Table16[ประเภท],J113,Table16[ฝ่าย],A117,Table16[สัปดาห์แจ้งซ่อม],"3"))</f>
        <v>-</v>
      </c>
      <c r="K117" s="44" t="str">
        <f>IF(COUNTIFS(Table16[ประเภท],K113,Table16[ฝ่าย],A117,Table16[สัปดาห์แจ้งซ่อม],"3")=0,"-",COUNTIFS(Table16[ประเภท],K113,Table16[ฝ่าย],A117,Table16[สัปดาห์แจ้งซ่อม],"3"))</f>
        <v>-</v>
      </c>
      <c r="L117" s="44" t="str">
        <f>IF(COUNTIFS(Table16[ประเภท],L113,Table16[ฝ่าย],A117,Table16[สัปดาห์แจ้งซ่อม],"3")=0,"-",COUNTIFS(Table16[ประเภท],L113,Table16[ฝ่าย],A117,Table16[สัปดาห์แจ้งซ่อม],"3"))</f>
        <v>-</v>
      </c>
      <c r="M117" s="44" t="str">
        <f>IF(COUNTIFS(Table16[ประเภท],M113,Table16[ฝ่าย],A117,Table16[สัปดาห์แจ้งซ่อม],"3")=0,"-",COUNTIFS(Table16[ประเภท],M113,Table16[ฝ่าย],A117,Table16[สัปดาห์แจ้งซ่อม],"3"))</f>
        <v>-</v>
      </c>
      <c r="N117" s="44" t="str">
        <f>IF(COUNTIFS(Table16[ประเภท],N113,Table16[ฝ่าย],A117,Table16[สัปดาห์แจ้งซ่อม],"3")=0,"-",COUNTIFS(Table16[ประเภท],N113,Table16[ฝ่าย],A117,Table16[สัปดาห์แจ้งซ่อม],"3"))</f>
        <v>-</v>
      </c>
      <c r="O117" s="201"/>
      <c r="P117" s="189" t="str">
        <f>IF(COUNTIFS(Table16[ประเภท],P113,Table16[ฝ่าย],A117,Table16[สัปดาห์แจ้งซ่อม],"3")=0,"-",COUNTIFS(Table16[ประเภท],P113,Table16[ฝ่าย],A117,Table16[สัปดาห์แจ้งซ่อม],"3"))</f>
        <v>-</v>
      </c>
    </row>
    <row r="118" spans="1:19" ht="15" thickBot="1">
      <c r="A118" s="47" t="s">
        <v>58</v>
      </c>
      <c r="B118" s="65">
        <f>COUNTIFS(Table16[ฝ่าย],A118,Table16[สัปดาห์แจ้งซ่อม],3)</f>
        <v>0</v>
      </c>
      <c r="C118" s="49">
        <f>B118/B128</f>
        <v>0</v>
      </c>
      <c r="D118" s="44" t="str">
        <f>IF(COUNTIFS(Table16[ประเภท],D113,Table16[ฝ่าย],A118,Table16[สัปดาห์แจ้งซ่อม],"3")=0,"-",COUNTIFS(Table16[ประเภท],D113,Table16[ฝ่าย],A118,Table16[สัปดาห์แจ้งซ่อม],"3"))</f>
        <v>-</v>
      </c>
      <c r="E118" s="44" t="str">
        <f>IF(COUNTIFS(Table16[ประเภท],E113,Table16[ฝ่าย],A118,Table16[สัปดาห์แจ้งซ่อม],"3")=0,"-",COUNTIFS(Table16[ประเภท],E113,Table16[ฝ่าย],A118,Table16[สัปดาห์แจ้งซ่อม],"3"))</f>
        <v>-</v>
      </c>
      <c r="F118" s="44" t="str">
        <f>IF(COUNTIFS(Table16[ประเภท],F113,Table16[ฝ่าย],A118,Table16[สัปดาห์แจ้งซ่อม],"3")=0,"-",COUNTIFS(Table16[ประเภท],F113,Table16[ฝ่าย],A118,Table16[สัปดาห์แจ้งซ่อม],"3"))</f>
        <v>-</v>
      </c>
      <c r="G118" s="44" t="str">
        <f>IF(COUNTIFS(Table16[ประเภท],G113,Table16[ฝ่าย],A118,Table16[สัปดาห์แจ้งซ่อม],"3")=0,"-",COUNTIFS(Table16[ประเภท],G113,Table16[ฝ่าย],A118,Table16[สัปดาห์แจ้งซ่อม],"3"))</f>
        <v>-</v>
      </c>
      <c r="H118" s="44" t="str">
        <f>IF(COUNTIFS(Table16[ประเภท],H113,Table16[ฝ่าย],A118,Table16[สัปดาห์แจ้งซ่อม],"3")=0,"-",COUNTIFS(Table16[ประเภท],H113,Table16[ฝ่าย],A118,Table16[สัปดาห์แจ้งซ่อม],"3"))</f>
        <v>-</v>
      </c>
      <c r="I118" s="44" t="str">
        <f>IF(COUNTIFS(Table16[ประเภท],I113,Table16[ฝ่าย],A118,Table16[สัปดาห์แจ้งซ่อม],"3")=0,"-",COUNTIFS(Table16[ประเภท],I113,Table16[ฝ่าย],A118,Table16[สัปดาห์แจ้งซ่อม],"3"))</f>
        <v>-</v>
      </c>
      <c r="J118" s="44" t="str">
        <f>IF(COUNTIFS(Table16[ประเภท],J113,Table16[ฝ่าย],A118,Table16[สัปดาห์แจ้งซ่อม],"3")=0,"-",COUNTIFS(Table16[ประเภท],J113,Table16[ฝ่าย],A118,Table16[สัปดาห์แจ้งซ่อม],"3"))</f>
        <v>-</v>
      </c>
      <c r="K118" s="44" t="str">
        <f>IF(COUNTIFS(Table16[ประเภท],K113,Table16[ฝ่าย],A118,Table16[สัปดาห์แจ้งซ่อม],"3")=0,"-",COUNTIFS(Table16[ประเภท],K113,Table16[ฝ่าย],A118,Table16[สัปดาห์แจ้งซ่อม],"3"))</f>
        <v>-</v>
      </c>
      <c r="L118" s="44" t="str">
        <f>IF(COUNTIFS(Table16[ประเภท],L113,Table16[ฝ่าย],A118,Table16[สัปดาห์แจ้งซ่อม],"3")=0,"-",COUNTIFS(Table16[ประเภท],L113,Table16[ฝ่าย],A118,Table16[สัปดาห์แจ้งซ่อม],"3"))</f>
        <v>-</v>
      </c>
      <c r="M118" s="44" t="str">
        <f>IF(COUNTIFS(Table16[ประเภท],M113,Table16[ฝ่าย],A118,Table16[สัปดาห์แจ้งซ่อม],"3")=0,"-",COUNTIFS(Table16[ประเภท],M113,Table16[ฝ่าย],A118,Table16[สัปดาห์แจ้งซ่อม],"3"))</f>
        <v>-</v>
      </c>
      <c r="N118" s="44" t="str">
        <f>IF(COUNTIFS(Table16[ประเภท],N113,Table16[ฝ่าย],A118,Table16[สัปดาห์แจ้งซ่อม],"3")=0,"-",COUNTIFS(Table16[ประเภท],N113,Table16[ฝ่าย],A118,Table16[สัปดาห์แจ้งซ่อม],"3"))</f>
        <v>-</v>
      </c>
      <c r="O118" s="201"/>
      <c r="P118" s="189" t="str">
        <f>IF(COUNTIFS(Table16[ประเภท],P113,Table16[ฝ่าย],A118,Table16[สัปดาห์แจ้งซ่อม],"3")=0,"-",COUNTIFS(Table16[ประเภท],P113,Table16[ฝ่าย],A118,Table16[สัปดาห์แจ้งซ่อม],"3"))</f>
        <v>-</v>
      </c>
    </row>
    <row r="119" spans="1:19" ht="15" thickBot="1">
      <c r="A119" s="47" t="s">
        <v>59</v>
      </c>
      <c r="B119" s="65">
        <f>COUNTIFS(Table16[ฝ่าย],A119,Table16[สัปดาห์แจ้งซ่อม],3)</f>
        <v>1</v>
      </c>
      <c r="C119" s="49">
        <f>B119/B128</f>
        <v>0.14285714285714285</v>
      </c>
      <c r="D119" s="44" t="str">
        <f>IF(COUNTIFS(Table16[ประเภท],D113,Table16[ฝ่าย],A119,Table16[สัปดาห์แจ้งซ่อม],"3")=0,"-",COUNTIFS(Table16[ประเภท],D113,Table16[ฝ่าย],A119,Table16[สัปดาห์แจ้งซ่อม],"3"))</f>
        <v>-</v>
      </c>
      <c r="E119" s="44" t="str">
        <f>IF(COUNTIFS(Table16[ประเภท],E113,Table16[ฝ่าย],A119,Table16[สัปดาห์แจ้งซ่อม],"3")=0,"-",COUNTIFS(Table16[ประเภท],E113,Table16[ฝ่าย],A119,Table16[สัปดาห์แจ้งซ่อม],"3"))</f>
        <v>-</v>
      </c>
      <c r="F119" s="44" t="str">
        <f>IF(COUNTIFS(Table16[ประเภท],F113,Table16[ฝ่าย],A119,Table16[สัปดาห์แจ้งซ่อม],"3")=0,"-",COUNTIFS(Table16[ประเภท],F113,Table16[ฝ่าย],A119,Table16[สัปดาห์แจ้งซ่อม],"3"))</f>
        <v>-</v>
      </c>
      <c r="G119" s="44" t="str">
        <f>IF(COUNTIFS(Table16[ประเภท],G113,Table16[ฝ่าย],A119,Table16[สัปดาห์แจ้งซ่อม],"3")=0,"-",COUNTIFS(Table16[ประเภท],G113,Table16[ฝ่าย],A119,Table16[สัปดาห์แจ้งซ่อม],"3"))</f>
        <v>-</v>
      </c>
      <c r="H119" s="44" t="str">
        <f>IF(COUNTIFS(Table16[ประเภท],H113,Table16[ฝ่าย],A119,Table16[สัปดาห์แจ้งซ่อม],"3")=0,"-",COUNTIFS(Table16[ประเภท],H113,Table16[ฝ่าย],A119,Table16[สัปดาห์แจ้งซ่อม],"3"))</f>
        <v>-</v>
      </c>
      <c r="I119" s="44" t="str">
        <f>IF(COUNTIFS(Table16[ประเภท],I113,Table16[ฝ่าย],A119,Table16[สัปดาห์แจ้งซ่อม],"3")=0,"-",COUNTIFS(Table16[ประเภท],I113,Table16[ฝ่าย],A119,Table16[สัปดาห์แจ้งซ่อม],"3"))</f>
        <v>-</v>
      </c>
      <c r="J119" s="44">
        <f>IF(COUNTIFS(Table16[ประเภท],J113,Table16[ฝ่าย],A119,Table16[สัปดาห์แจ้งซ่อม],"3")=0,"-",COUNTIFS(Table16[ประเภท],J113,Table16[ฝ่าย],A119,Table16[สัปดาห์แจ้งซ่อม],"3"))</f>
        <v>1</v>
      </c>
      <c r="K119" s="44" t="str">
        <f>IF(COUNTIFS(Table16[ประเภท],K113,Table16[ฝ่าย],A119,Table16[สัปดาห์แจ้งซ่อม],"3")=0,"-",COUNTIFS(Table16[ประเภท],K113,Table16[ฝ่าย],A119,Table16[สัปดาห์แจ้งซ่อม],"3"))</f>
        <v>-</v>
      </c>
      <c r="L119" s="44" t="str">
        <f>IF(COUNTIFS(Table16[ประเภท],L113,Table16[ฝ่าย],A119,Table16[สัปดาห์แจ้งซ่อม],"3")=0,"-",COUNTIFS(Table16[ประเภท],L113,Table16[ฝ่าย],A119,Table16[สัปดาห์แจ้งซ่อม],"3"))</f>
        <v>-</v>
      </c>
      <c r="M119" s="44" t="str">
        <f>IF(COUNTIFS(Table16[ประเภท],M113,Table16[ฝ่าย],A119,Table16[สัปดาห์แจ้งซ่อม],"3")=0,"-",COUNTIFS(Table16[ประเภท],M113,Table16[ฝ่าย],A119,Table16[สัปดาห์แจ้งซ่อม],"3"))</f>
        <v>-</v>
      </c>
      <c r="N119" s="44" t="str">
        <f>IF(COUNTIFS(Table16[ประเภท],N113,Table16[ฝ่าย],A119,Table16[สัปดาห์แจ้งซ่อม],"3")=0,"-",COUNTIFS(Table16[ประเภท],N113,Table16[ฝ่าย],A119,Table16[สัปดาห์แจ้งซ่อม],"3"))</f>
        <v>-</v>
      </c>
      <c r="O119" s="201"/>
      <c r="P119" s="189" t="str">
        <f>IF(COUNTIFS(Table16[ประเภท],P113,Table16[ฝ่าย],A119,Table16[สัปดาห์แจ้งซ่อม],"3")=0,"-",COUNTIFS(Table16[ประเภท],P113,Table16[ฝ่าย],A119,Table16[สัปดาห์แจ้งซ่อม],"3"))</f>
        <v>-</v>
      </c>
    </row>
    <row r="120" spans="1:19" ht="15" thickBot="1">
      <c r="A120" s="47" t="s">
        <v>60</v>
      </c>
      <c r="B120" s="65">
        <f>COUNTIFS(Table16[ฝ่าย],A120,Table16[สัปดาห์แจ้งซ่อม],3)</f>
        <v>0</v>
      </c>
      <c r="C120" s="49">
        <f>B120/B128</f>
        <v>0</v>
      </c>
      <c r="D120" s="44" t="str">
        <f>IF(COUNTIFS(Table16[ประเภท],D113,Table16[ฝ่าย],A120,Table16[สัปดาห์แจ้งซ่อม],"3")=0,"-",COUNTIFS(Table16[ประเภท],D113,Table16[ฝ่าย],A120,Table16[สัปดาห์แจ้งซ่อม],"3"))</f>
        <v>-</v>
      </c>
      <c r="E120" s="44" t="str">
        <f>IF(COUNTIFS(Table16[ประเภท],E113,Table16[ฝ่าย],A120,Table16[สัปดาห์แจ้งซ่อม],"3")=0,"-",COUNTIFS(Table16[ประเภท],E113,Table16[ฝ่าย],A120,Table16[สัปดาห์แจ้งซ่อม],"3"))</f>
        <v>-</v>
      </c>
      <c r="F120" s="44" t="str">
        <f>IF(COUNTIFS(Table16[ประเภท],F113,Table16[ฝ่าย],A120,Table16[สัปดาห์แจ้งซ่อม],"3")=0,"-",COUNTIFS(Table16[ประเภท],F113,Table16[ฝ่าย],A120,Table16[สัปดาห์แจ้งซ่อม],"3"))</f>
        <v>-</v>
      </c>
      <c r="G120" s="44" t="str">
        <f>IF(COUNTIFS(Table16[ประเภท],G113,Table16[ฝ่าย],A120,Table16[สัปดาห์แจ้งซ่อม],"3")=0,"-",COUNTIFS(Table16[ประเภท],G113,Table16[ฝ่าย],A120,Table16[สัปดาห์แจ้งซ่อม],"3"))</f>
        <v>-</v>
      </c>
      <c r="H120" s="44" t="str">
        <f>IF(COUNTIFS(Table16[ประเภท],H113,Table16[ฝ่าย],A120,Table16[สัปดาห์แจ้งซ่อม],"3")=0,"-",COUNTIFS(Table16[ประเภท],H113,Table16[ฝ่าย],A120,Table16[สัปดาห์แจ้งซ่อม],"3"))</f>
        <v>-</v>
      </c>
      <c r="I120" s="44" t="str">
        <f>IF(COUNTIFS(Table16[ประเภท],I113,Table16[ฝ่าย],A120,Table16[สัปดาห์แจ้งซ่อม],"3")=0,"-",COUNTIFS(Table16[ประเภท],I113,Table16[ฝ่าย],A120,Table16[สัปดาห์แจ้งซ่อม],"3"))</f>
        <v>-</v>
      </c>
      <c r="J120" s="44" t="str">
        <f>IF(COUNTIFS(Table16[ประเภท],J113,Table16[ฝ่าย],A120,Table16[สัปดาห์แจ้งซ่อม],"3")=0,"-",COUNTIFS(Table16[ประเภท],J113,Table16[ฝ่าย],A120,Table16[สัปดาห์แจ้งซ่อม],"3"))</f>
        <v>-</v>
      </c>
      <c r="K120" s="44" t="str">
        <f>IF(COUNTIFS(Table16[ประเภท],K113,Table16[ฝ่าย],A120,Table16[สัปดาห์แจ้งซ่อม],"3")=0,"-",COUNTIFS(Table16[ประเภท],K113,Table16[ฝ่าย],A120,Table16[สัปดาห์แจ้งซ่อม],"3"))</f>
        <v>-</v>
      </c>
      <c r="L120" s="44" t="str">
        <f>IF(COUNTIFS(Table16[ประเภท],L113,Table16[ฝ่าย],A120,Table16[สัปดาห์แจ้งซ่อม],"3")=0,"-",COUNTIFS(Table16[ประเภท],L113,Table16[ฝ่าย],A120,Table16[สัปดาห์แจ้งซ่อม],"3"))</f>
        <v>-</v>
      </c>
      <c r="M120" s="44" t="str">
        <f>IF(COUNTIFS(Table16[ประเภท],M113,Table16[ฝ่าย],A120,Table16[สัปดาห์แจ้งซ่อม],"3")=0,"-",COUNTIFS(Table16[ประเภท],M113,Table16[ฝ่าย],A120,Table16[สัปดาห์แจ้งซ่อม],"3"))</f>
        <v>-</v>
      </c>
      <c r="N120" s="44" t="str">
        <f>IF(COUNTIFS(Table16[ประเภท],N113,Table16[ฝ่าย],A120,Table16[สัปดาห์แจ้งซ่อม],"3")=0,"-",COUNTIFS(Table16[ประเภท],N113,Table16[ฝ่าย],A120,Table16[สัปดาห์แจ้งซ่อม],"3"))</f>
        <v>-</v>
      </c>
      <c r="O120" s="201"/>
      <c r="P120" s="189" t="str">
        <f>IF(COUNTIFS(Table16[ประเภท],P113,Table16[ฝ่าย],A120,Table16[สัปดาห์แจ้งซ่อม],"3")=0,"-",COUNTIFS(Table16[ประเภท],P113,Table16[ฝ่าย],A120,Table16[สัปดาห์แจ้งซ่อม],"3"))</f>
        <v>-</v>
      </c>
    </row>
    <row r="121" spans="1:19" ht="15" thickBot="1">
      <c r="A121" s="47" t="s">
        <v>61</v>
      </c>
      <c r="B121" s="65">
        <f>COUNTIFS(Table16[ฝ่าย],A121,Table16[สัปดาห์แจ้งซ่อม],3)</f>
        <v>0</v>
      </c>
      <c r="C121" s="49">
        <f>B121/B128</f>
        <v>0</v>
      </c>
      <c r="D121" s="44" t="str">
        <f>IF(COUNTIFS(Table16[ประเภท],D113,Table16[ฝ่าย],A121,Table16[สัปดาห์แจ้งซ่อม],"3")=0,"-",COUNTIFS(Table16[ประเภท],D113,Table16[ฝ่าย],A121,Table16[สัปดาห์แจ้งซ่อม],"3"))</f>
        <v>-</v>
      </c>
      <c r="E121" s="44" t="str">
        <f>IF(COUNTIFS(Table16[ประเภท],E113,Table16[ฝ่าย],A121,Table16[สัปดาห์แจ้งซ่อม],"3")=0,"-",COUNTIFS(Table16[ประเภท],E113,Table16[ฝ่าย],A121,Table16[สัปดาห์แจ้งซ่อม],"3"))</f>
        <v>-</v>
      </c>
      <c r="F121" s="44" t="str">
        <f>IF(COUNTIFS(Table16[ประเภท],F113,Table16[ฝ่าย],A121,Table16[สัปดาห์แจ้งซ่อม],"3")=0,"-",COUNTIFS(Table16[ประเภท],F113,Table16[ฝ่าย],A121,Table16[สัปดาห์แจ้งซ่อม],"3"))</f>
        <v>-</v>
      </c>
      <c r="G121" s="44" t="str">
        <f>IF(COUNTIFS(Table16[ประเภท],G113,Table16[ฝ่าย],A121,Table16[สัปดาห์แจ้งซ่อม],"3")=0,"-",COUNTIFS(Table16[ประเภท],G113,Table16[ฝ่าย],A121,Table16[สัปดาห์แจ้งซ่อม],"3"))</f>
        <v>-</v>
      </c>
      <c r="H121" s="44" t="str">
        <f>IF(COUNTIFS(Table16[ประเภท],H113,Table16[ฝ่าย],A121,Table16[สัปดาห์แจ้งซ่อม],"3")=0,"-",COUNTIFS(Table16[ประเภท],H113,Table16[ฝ่าย],A121,Table16[สัปดาห์แจ้งซ่อม],"3"))</f>
        <v>-</v>
      </c>
      <c r="I121" s="44" t="str">
        <f>IF(COUNTIFS(Table16[ประเภท],I113,Table16[ฝ่าย],A121,Table16[สัปดาห์แจ้งซ่อม],"3")=0,"-",COUNTIFS(Table16[ประเภท],I113,Table16[ฝ่าย],A121,Table16[สัปดาห์แจ้งซ่อม],"3"))</f>
        <v>-</v>
      </c>
      <c r="J121" s="44" t="str">
        <f>IF(COUNTIFS(Table16[ประเภท],J113,Table16[ฝ่าย],A121,Table16[สัปดาห์แจ้งซ่อม],"3")=0,"-",COUNTIFS(Table16[ประเภท],J113,Table16[ฝ่าย],A121,Table16[สัปดาห์แจ้งซ่อม],"3"))</f>
        <v>-</v>
      </c>
      <c r="K121" s="44" t="str">
        <f>IF(COUNTIFS(Table16[ประเภท],K113,Table16[ฝ่าย],A121,Table16[สัปดาห์แจ้งซ่อม],"3")=0,"-",COUNTIFS(Table16[ประเภท],K113,Table16[ฝ่าย],A121,Table16[สัปดาห์แจ้งซ่อม],"3"))</f>
        <v>-</v>
      </c>
      <c r="L121" s="44" t="str">
        <f>IF(COUNTIFS(Table16[ประเภท],L113,Table16[ฝ่าย],A121,Table16[สัปดาห์แจ้งซ่อม],"3")=0,"-",COUNTIFS(Table16[ประเภท],L113,Table16[ฝ่าย],A121,Table16[สัปดาห์แจ้งซ่อม],"3"))</f>
        <v>-</v>
      </c>
      <c r="M121" s="44" t="str">
        <f>IF(COUNTIFS(Table16[ประเภท],M113,Table16[ฝ่าย],A121,Table16[สัปดาห์แจ้งซ่อม],"3")=0,"-",COUNTIFS(Table16[ประเภท],M113,Table16[ฝ่าย],A121,Table16[สัปดาห์แจ้งซ่อม],"3"))</f>
        <v>-</v>
      </c>
      <c r="N121" s="44" t="str">
        <f>IF(COUNTIFS(Table16[ประเภท],N113,Table16[ฝ่าย],A121,Table16[สัปดาห์แจ้งซ่อม],"3")=0,"-",COUNTIFS(Table16[ประเภท],N113,Table16[ฝ่าย],A121,Table16[สัปดาห์แจ้งซ่อม],"3"))</f>
        <v>-</v>
      </c>
      <c r="O121" s="201"/>
      <c r="P121" s="189" t="str">
        <f>IF(COUNTIFS(Table16[ประเภท],P113,Table16[ฝ่าย],A121,Table16[สัปดาห์แจ้งซ่อม],"3")=0,"-",COUNTIFS(Table16[ประเภท],P113,Table16[ฝ่าย],A121,Table16[สัปดาห์แจ้งซ่อม],"3"))</f>
        <v>-</v>
      </c>
    </row>
    <row r="122" spans="1:19" ht="15" thickBot="1">
      <c r="A122" s="47" t="s">
        <v>62</v>
      </c>
      <c r="B122" s="65">
        <f>COUNTIFS(Table16[ฝ่าย],A122,Table16[สัปดาห์แจ้งซ่อม],3)</f>
        <v>0</v>
      </c>
      <c r="C122" s="49">
        <f>B122/B128</f>
        <v>0</v>
      </c>
      <c r="D122" s="44" t="str">
        <f>IF(COUNTIFS(Table16[ประเภท],D113,Table16[ฝ่าย],A122,Table16[สัปดาห์แจ้งซ่อม],"3")=0,"-",COUNTIFS(Table16[ประเภท],D113,Table16[ฝ่าย],A122,Table16[สัปดาห์แจ้งซ่อม],"3"))</f>
        <v>-</v>
      </c>
      <c r="E122" s="44" t="str">
        <f>IF(COUNTIFS(Table16[ประเภท],E113,Table16[ฝ่าย],A122,Table16[สัปดาห์แจ้งซ่อม],"3")=0,"-",COUNTIFS(Table16[ประเภท],E113,Table16[ฝ่าย],A122,Table16[สัปดาห์แจ้งซ่อม],"3"))</f>
        <v>-</v>
      </c>
      <c r="F122" s="44" t="str">
        <f>IF(COUNTIFS(Table16[ประเภท],F113,Table16[ฝ่าย],A122,Table16[สัปดาห์แจ้งซ่อม],"3")=0,"-",COUNTIFS(Table16[ประเภท],F113,Table16[ฝ่าย],A122,Table16[สัปดาห์แจ้งซ่อม],"3"))</f>
        <v>-</v>
      </c>
      <c r="G122" s="44" t="str">
        <f>IF(COUNTIFS(Table16[ประเภท],G113,Table16[ฝ่าย],A122,Table16[สัปดาห์แจ้งซ่อม],"3")=0,"-",COUNTIFS(Table16[ประเภท],G113,Table16[ฝ่าย],A122,Table16[สัปดาห์แจ้งซ่อม],"3"))</f>
        <v>-</v>
      </c>
      <c r="H122" s="44" t="str">
        <f>IF(COUNTIFS(Table16[ประเภท],H113,Table16[ฝ่าย],A122,Table16[สัปดาห์แจ้งซ่อม],"3")=0,"-",COUNTIFS(Table16[ประเภท],H113,Table16[ฝ่าย],A122,Table16[สัปดาห์แจ้งซ่อม],"3"))</f>
        <v>-</v>
      </c>
      <c r="I122" s="44" t="str">
        <f>IF(COUNTIFS(Table16[ประเภท],I113,Table16[ฝ่าย],A122,Table16[สัปดาห์แจ้งซ่อม],"3")=0,"-",COUNTIFS(Table16[ประเภท],I113,Table16[ฝ่าย],A122,Table16[สัปดาห์แจ้งซ่อม],"3"))</f>
        <v>-</v>
      </c>
      <c r="J122" s="44" t="str">
        <f>IF(COUNTIFS(Table16[ประเภท],J113,Table16[ฝ่าย],A122,Table16[สัปดาห์แจ้งซ่อม],"3")=0,"-",COUNTIFS(Table16[ประเภท],J113,Table16[ฝ่าย],A122,Table16[สัปดาห์แจ้งซ่อม],"3"))</f>
        <v>-</v>
      </c>
      <c r="K122" s="44" t="str">
        <f>IF(COUNTIFS(Table16[ประเภท],K113,Table16[ฝ่าย],A122,Table16[สัปดาห์แจ้งซ่อม],"3")=0,"-",COUNTIFS(Table16[ประเภท],K113,Table16[ฝ่าย],A122,Table16[สัปดาห์แจ้งซ่อม],"3"))</f>
        <v>-</v>
      </c>
      <c r="L122" s="44" t="str">
        <f>IF(COUNTIFS(Table16[ประเภท],L113,Table16[ฝ่าย],A122,Table16[สัปดาห์แจ้งซ่อม],"3")=0,"-",COUNTIFS(Table16[ประเภท],L113,Table16[ฝ่าย],A122,Table16[สัปดาห์แจ้งซ่อม],"3"))</f>
        <v>-</v>
      </c>
      <c r="M122" s="44" t="str">
        <f>IF(COUNTIFS(Table16[ประเภท],M113,Table16[ฝ่าย],A122,Table16[สัปดาห์แจ้งซ่อม],"3")=0,"-",COUNTIFS(Table16[ประเภท],M113,Table16[ฝ่าย],A122,Table16[สัปดาห์แจ้งซ่อม],"3"))</f>
        <v>-</v>
      </c>
      <c r="N122" s="44" t="str">
        <f>IF(COUNTIFS(Table16[ประเภท],N113,Table16[ฝ่าย],A122,Table16[สัปดาห์แจ้งซ่อม],"3")=0,"-",COUNTIFS(Table16[ประเภท],N113,Table16[ฝ่าย],A122,Table16[สัปดาห์แจ้งซ่อม],"3"))</f>
        <v>-</v>
      </c>
      <c r="O122" s="201"/>
      <c r="P122" s="189" t="str">
        <f>IF(COUNTIFS(Table16[ประเภท],P113,Table16[ฝ่าย],A122,Table16[สัปดาห์แจ้งซ่อม],"3")=0,"-",COUNTIFS(Table16[ประเภท],P113,Table16[ฝ่าย],A122,Table16[สัปดาห์แจ้งซ่อม],"3"))</f>
        <v>-</v>
      </c>
    </row>
    <row r="123" spans="1:19" ht="15" thickBot="1">
      <c r="A123" s="47" t="s">
        <v>63</v>
      </c>
      <c r="B123" s="65">
        <f>COUNTIFS(Table16[ฝ่าย],A123,Table16[สัปดาห์แจ้งซ่อม],3)</f>
        <v>0</v>
      </c>
      <c r="C123" s="50">
        <f>B123/B128</f>
        <v>0</v>
      </c>
      <c r="D123" s="44" t="str">
        <f>IF(COUNTIFS(Table16[ประเภท],D113,Table16[ฝ่าย],A123,Table16[สัปดาห์แจ้งซ่อม],"3")=0,"-",COUNTIFS(Table16[ประเภท],D113,Table16[ฝ่าย],A123,Table16[สัปดาห์แจ้งซ่อม],"3"))</f>
        <v>-</v>
      </c>
      <c r="E123" s="44" t="str">
        <f>IF(COUNTIFS(Table16[ประเภท],E113,Table16[ฝ่าย],A123,Table16[สัปดาห์แจ้งซ่อม],"3")=0,"-",COUNTIFS(Table16[ประเภท],E113,Table16[ฝ่าย],A123,Table16[สัปดาห์แจ้งซ่อม],"3"))</f>
        <v>-</v>
      </c>
      <c r="F123" s="44" t="str">
        <f>IF(COUNTIFS(Table16[ประเภท],F113,Table16[ฝ่าย],A123,Table16[สัปดาห์แจ้งซ่อม],"3")=0,"-",COUNTIFS(Table16[ประเภท],F113,Table16[ฝ่าย],A123,Table16[สัปดาห์แจ้งซ่อม],"3"))</f>
        <v>-</v>
      </c>
      <c r="G123" s="44" t="str">
        <f>IF(COUNTIFS(Table16[ประเภท],G113,Table16[ฝ่าย],A123,Table16[สัปดาห์แจ้งซ่อม],"3")=0,"-",COUNTIFS(Table16[ประเภท],G113,Table16[ฝ่าย],A123,Table16[สัปดาห์แจ้งซ่อม],"3"))</f>
        <v>-</v>
      </c>
      <c r="H123" s="44" t="str">
        <f>IF(COUNTIFS(Table16[ประเภท],H113,Table16[ฝ่าย],A123,Table16[สัปดาห์แจ้งซ่อม],"3")=0,"-",COUNTIFS(Table16[ประเภท],H113,Table16[ฝ่าย],A123,Table16[สัปดาห์แจ้งซ่อม],"3"))</f>
        <v>-</v>
      </c>
      <c r="I123" s="44" t="str">
        <f>IF(COUNTIFS(Table16[ประเภท],I113,Table16[ฝ่าย],A123,Table16[สัปดาห์แจ้งซ่อม],"3")=0,"-",COUNTIFS(Table16[ประเภท],I113,Table16[ฝ่าย],A123,Table16[สัปดาห์แจ้งซ่อม],"3"))</f>
        <v>-</v>
      </c>
      <c r="J123" s="44" t="str">
        <f>IF(COUNTIFS(Table16[ประเภท],J113,Table16[ฝ่าย],A123,Table16[สัปดาห์แจ้งซ่อม],"3")=0,"-",COUNTIFS(Table16[ประเภท],J113,Table16[ฝ่าย],A123,Table16[สัปดาห์แจ้งซ่อม],"3"))</f>
        <v>-</v>
      </c>
      <c r="K123" s="44" t="str">
        <f>IF(COUNTIFS(Table16[ประเภท],K113,Table16[ฝ่าย],A123,Table16[สัปดาห์แจ้งซ่อม],"3")=0,"-",COUNTIFS(Table16[ประเภท],K113,Table16[ฝ่าย],A123,Table16[สัปดาห์แจ้งซ่อม],"3"))</f>
        <v>-</v>
      </c>
      <c r="L123" s="44" t="str">
        <f>IF(COUNTIFS(Table16[ประเภท],L113,Table16[ฝ่าย],A123,Table16[สัปดาห์แจ้งซ่อม],"3")=0,"-",COUNTIFS(Table16[ประเภท],L113,Table16[ฝ่าย],A123,Table16[สัปดาห์แจ้งซ่อม],"3"))</f>
        <v>-</v>
      </c>
      <c r="M123" s="44" t="str">
        <f>IF(COUNTIFS(Table16[ประเภท],M113,Table16[ฝ่าย],A123,Table16[สัปดาห์แจ้งซ่อม],"3")=0,"-",COUNTIFS(Table16[ประเภท],M113,Table16[ฝ่าย],A123,Table16[สัปดาห์แจ้งซ่อม],"3"))</f>
        <v>-</v>
      </c>
      <c r="N123" s="44" t="str">
        <f>IF(COUNTIFS(Table16[ประเภท],N113,Table16[ฝ่าย],A123,Table16[สัปดาห์แจ้งซ่อม],"3")=0,"-",COUNTIFS(Table16[ประเภท],N113,Table16[ฝ่าย],A123,Table16[สัปดาห์แจ้งซ่อม],"3"))</f>
        <v>-</v>
      </c>
      <c r="O123" s="201"/>
      <c r="P123" s="189" t="str">
        <f>IF(COUNTIFS(Table16[ประเภท],P113,Table16[ฝ่าย],A123,Table16[สัปดาห์แจ้งซ่อม],"3")=0,"-",COUNTIFS(Table16[ประเภท],P113,Table16[ฝ่าย],A123,Table16[สัปดาห์แจ้งซ่อม],"3"))</f>
        <v>-</v>
      </c>
    </row>
    <row r="124" spans="1:19" ht="15" thickBot="1">
      <c r="A124" s="47" t="s">
        <v>64</v>
      </c>
      <c r="B124" s="65">
        <f>COUNTIFS(Table16[ฝ่าย],A124,Table16[สัปดาห์แจ้งซ่อม],3)</f>
        <v>0</v>
      </c>
      <c r="C124" s="50">
        <f>B124/B128</f>
        <v>0</v>
      </c>
      <c r="D124" s="44" t="str">
        <f>IF(COUNTIFS(Table16[ประเภท],D113,Table16[ฝ่าย],A124,Table16[สัปดาห์แจ้งซ่อม],"3")=0,"-",COUNTIFS(Table16[ประเภท],D113,Table16[ฝ่าย],A124,Table16[สัปดาห์แจ้งซ่อม],"3"))</f>
        <v>-</v>
      </c>
      <c r="E124" s="44" t="str">
        <f>IF(COUNTIFS(Table16[ประเภท],E113,Table16[ฝ่าย],A124,Table16[สัปดาห์แจ้งซ่อม],"3")=0,"-",COUNTIFS(Table16[ประเภท],E113,Table16[ฝ่าย],A124,Table16[สัปดาห์แจ้งซ่อม],"3"))</f>
        <v>-</v>
      </c>
      <c r="F124" s="44" t="str">
        <f>IF(COUNTIFS(Table16[ประเภท],F113,Table16[ฝ่าย],A124,Table16[สัปดาห์แจ้งซ่อม],"3")=0,"-",COUNTIFS(Table16[ประเภท],F113,Table16[ฝ่าย],A124,Table16[สัปดาห์แจ้งซ่อม],"3"))</f>
        <v>-</v>
      </c>
      <c r="G124" s="44" t="str">
        <f>IF(COUNTIFS(Table16[ประเภท],G113,Table16[ฝ่าย],A124,Table16[สัปดาห์แจ้งซ่อม],"3")=0,"-",COUNTIFS(Table16[ประเภท],G113,Table16[ฝ่าย],A124,Table16[สัปดาห์แจ้งซ่อม],"3"))</f>
        <v>-</v>
      </c>
      <c r="H124" s="44" t="str">
        <f>IF(COUNTIFS(Table16[ประเภท],H113,Table16[ฝ่าย],A124,Table16[สัปดาห์แจ้งซ่อม],"3")=0,"-",COUNTIFS(Table16[ประเภท],H113,Table16[ฝ่าย],A124,Table16[สัปดาห์แจ้งซ่อม],"3"))</f>
        <v>-</v>
      </c>
      <c r="I124" s="44" t="str">
        <f>IF(COUNTIFS(Table16[ประเภท],I113,Table16[ฝ่าย],A124,Table16[สัปดาห์แจ้งซ่อม],"3")=0,"-",COUNTIFS(Table16[ประเภท],I113,Table16[ฝ่าย],A124,Table16[สัปดาห์แจ้งซ่อม],"3"))</f>
        <v>-</v>
      </c>
      <c r="J124" s="44" t="str">
        <f>IF(COUNTIFS(Table16[ประเภท],J113,Table16[ฝ่าย],A124,Table16[สัปดาห์แจ้งซ่อม],"3")=0,"-",COUNTIFS(Table16[ประเภท],J113,Table16[ฝ่าย],A124,Table16[สัปดาห์แจ้งซ่อม],"3"))</f>
        <v>-</v>
      </c>
      <c r="K124" s="44" t="str">
        <f>IF(COUNTIFS(Table16[ประเภท],K113,Table16[ฝ่าย],A124,Table16[สัปดาห์แจ้งซ่อม],"3")=0,"-",COUNTIFS(Table16[ประเภท],K113,Table16[ฝ่าย],A124,Table16[สัปดาห์แจ้งซ่อม],"3"))</f>
        <v>-</v>
      </c>
      <c r="L124" s="44" t="str">
        <f>IF(COUNTIFS(Table16[ประเภท],L113,Table16[ฝ่าย],A124,Table16[สัปดาห์แจ้งซ่อม],"3")=0,"-",COUNTIFS(Table16[ประเภท],L113,Table16[ฝ่าย],A124,Table16[สัปดาห์แจ้งซ่อม],"3"))</f>
        <v>-</v>
      </c>
      <c r="M124" s="44" t="str">
        <f>IF(COUNTIFS(Table16[ประเภท],M113,Table16[ฝ่าย],A124,Table16[สัปดาห์แจ้งซ่อม],"3")=0,"-",COUNTIFS(Table16[ประเภท],M113,Table16[ฝ่าย],A124,Table16[สัปดาห์แจ้งซ่อม],"3"))</f>
        <v>-</v>
      </c>
      <c r="N124" s="44" t="str">
        <f>IF(COUNTIFS(Table16[ประเภท],N113,Table16[ฝ่าย],A124,Table16[สัปดาห์แจ้งซ่อม],"3")=0,"-",COUNTIFS(Table16[ประเภท],N113,Table16[ฝ่าย],A124,Table16[สัปดาห์แจ้งซ่อม],"3"))</f>
        <v>-</v>
      </c>
      <c r="O124" s="201"/>
      <c r="P124" s="189" t="str">
        <f>IF(COUNTIFS(Table16[ประเภท],P113,Table16[ฝ่าย],A124,Table16[สัปดาห์แจ้งซ่อม],"3")=0,"-",COUNTIFS(Table16[ประเภท],P113,Table16[ฝ่าย],A124,Table16[สัปดาห์แจ้งซ่อม],"3"))</f>
        <v>-</v>
      </c>
    </row>
    <row r="125" spans="1:19" ht="15" thickBot="1">
      <c r="A125" s="47" t="s">
        <v>65</v>
      </c>
      <c r="B125" s="65">
        <f>COUNTIFS(Table16[ฝ่าย],A125,Table16[สัปดาห์แจ้งซ่อม],3)</f>
        <v>0</v>
      </c>
      <c r="C125" s="50">
        <f>B125/B128</f>
        <v>0</v>
      </c>
      <c r="D125" s="44" t="str">
        <f>IF(COUNTIFS(Table16[ประเภท],D113,Table16[ฝ่าย],A125,Table16[สัปดาห์แจ้งซ่อม],"3")=0,"-",COUNTIFS(Table16[ประเภท],D113,Table16[ฝ่าย],A125,Table16[สัปดาห์แจ้งซ่อม],"3"))</f>
        <v>-</v>
      </c>
      <c r="E125" s="44" t="str">
        <f>IF(COUNTIFS(Table16[ประเภท],E113,Table16[ฝ่าย],A125,Table16[สัปดาห์แจ้งซ่อม],"3")=0,"-",COUNTIFS(Table16[ประเภท],E113,Table16[ฝ่าย],A125,Table16[สัปดาห์แจ้งซ่อม],"3"))</f>
        <v>-</v>
      </c>
      <c r="F125" s="44" t="str">
        <f>IF(COUNTIFS(Table16[ประเภท],F113,Table16[ฝ่าย],A125,Table16[สัปดาห์แจ้งซ่อม],"3")=0,"-",COUNTIFS(Table16[ประเภท],F113,Table16[ฝ่าย],A125,Table16[สัปดาห์แจ้งซ่อม],"3"))</f>
        <v>-</v>
      </c>
      <c r="G125" s="44" t="str">
        <f>IF(COUNTIFS(Table16[ประเภท],G113,Table16[ฝ่าย],A125,Table16[สัปดาห์แจ้งซ่อม],"3")=0,"-",COUNTIFS(Table16[ประเภท],G113,Table16[ฝ่าย],A125,Table16[สัปดาห์แจ้งซ่อม],"3"))</f>
        <v>-</v>
      </c>
      <c r="H125" s="44" t="str">
        <f>IF(COUNTIFS(Table16[ประเภท],H113,Table16[ฝ่าย],A125,Table16[สัปดาห์แจ้งซ่อม],"3")=0,"-",COUNTIFS(Table16[ประเภท],H113,Table16[ฝ่าย],A125,Table16[สัปดาห์แจ้งซ่อม],"3"))</f>
        <v>-</v>
      </c>
      <c r="I125" s="44" t="str">
        <f>IF(COUNTIFS(Table16[ประเภท],I113,Table16[ฝ่าย],A125,Table16[สัปดาห์แจ้งซ่อม],"3")=0,"-",COUNTIFS(Table16[ประเภท],I113,Table16[ฝ่าย],A125,Table16[สัปดาห์แจ้งซ่อม],"3"))</f>
        <v>-</v>
      </c>
      <c r="J125" s="44" t="str">
        <f>IF(COUNTIFS(Table16[ประเภท],J113,Table16[ฝ่าย],A125,Table16[สัปดาห์แจ้งซ่อม],"3")=0,"-",COUNTIFS(Table16[ประเภท],J113,Table16[ฝ่าย],A125,Table16[สัปดาห์แจ้งซ่อม],"3"))</f>
        <v>-</v>
      </c>
      <c r="K125" s="44" t="str">
        <f>IF(COUNTIFS(Table16[ประเภท],K113,Table16[ฝ่าย],A125,Table16[สัปดาห์แจ้งซ่อม],"3")=0,"-",COUNTIFS(Table16[ประเภท],K113,Table16[ฝ่าย],A125,Table16[สัปดาห์แจ้งซ่อม],"3"))</f>
        <v>-</v>
      </c>
      <c r="L125" s="44" t="str">
        <f>IF(COUNTIFS(Table16[ประเภท],L113,Table16[ฝ่าย],A125,Table16[สัปดาห์แจ้งซ่อม],"3")=0,"-",COUNTIFS(Table16[ประเภท],L113,Table16[ฝ่าย],A125,Table16[สัปดาห์แจ้งซ่อม],"3"))</f>
        <v>-</v>
      </c>
      <c r="M125" s="44" t="str">
        <f>IF(COUNTIFS(Table16[ประเภท],M113,Table16[ฝ่าย],A125,Table16[สัปดาห์แจ้งซ่อม],"3")=0,"-",COUNTIFS(Table16[ประเภท],M113,Table16[ฝ่าย],A125,Table16[สัปดาห์แจ้งซ่อม],"3"))</f>
        <v>-</v>
      </c>
      <c r="N125" s="44" t="str">
        <f>IF(COUNTIFS(Table16[ประเภท],N113,Table16[ฝ่าย],A125,Table16[สัปดาห์แจ้งซ่อม],"3")=0,"-",COUNTIFS(Table16[ประเภท],N113,Table16[ฝ่าย],A125,Table16[สัปดาห์แจ้งซ่อม],"3"))</f>
        <v>-</v>
      </c>
      <c r="O125" s="201"/>
      <c r="P125" s="189" t="str">
        <f>IF(COUNTIFS(Table16[ประเภท],P113,Table16[ฝ่าย],A125,Table16[สัปดาห์แจ้งซ่อม],"3")=0,"-",COUNTIFS(Table16[ประเภท],P113,Table16[ฝ่าย],A125,Table16[สัปดาห์แจ้งซ่อม],"3"))</f>
        <v>-</v>
      </c>
    </row>
    <row r="126" spans="1:19" ht="15" thickBot="1">
      <c r="A126" s="47" t="s">
        <v>66</v>
      </c>
      <c r="B126" s="65">
        <f>COUNTIFS(Table16[ฝ่าย],A126,Table16[สัปดาห์แจ้งซ่อม],3)</f>
        <v>0</v>
      </c>
      <c r="C126" s="50">
        <f>B126/B128</f>
        <v>0</v>
      </c>
      <c r="D126" s="44" t="str">
        <f>IF(COUNTIFS(Table16[ประเภท],D113,Table16[ฝ่าย],A126,Table16[สัปดาห์แจ้งซ่อม],"3")=0,"-",COUNTIFS(Table16[ประเภท],D113,Table16[ฝ่าย],A123,Table16[สัปดาห์แจ้งซ่อม],"3"))</f>
        <v>-</v>
      </c>
      <c r="E126" s="44" t="str">
        <f>IF(COUNTIFS(Table16[ประเภท],E113,Table16[ฝ่าย],A126,Table16[สัปดาห์แจ้งซ่อม],"3")=0,"-",COUNTIFS(Table16[ประเภท],E113,Table16[ฝ่าย],A123,Table16[สัปดาห์แจ้งซ่อม],"3"))</f>
        <v>-</v>
      </c>
      <c r="F126" s="44" t="str">
        <f>IF(COUNTIFS(Table16[ประเภท],F113,Table16[ฝ่าย],A126,Table16[สัปดาห์แจ้งซ่อม],"3")=0,"-",COUNTIFS(Table16[ประเภท],F113,Table16[ฝ่าย],A126,Table16[สัปดาห์แจ้งซ่อม],"3"))</f>
        <v>-</v>
      </c>
      <c r="G126" s="44" t="str">
        <f>IF(COUNTIFS(Table16[ประเภท],G113,Table16[ฝ่าย],A126,Table16[สัปดาห์แจ้งซ่อม],"3")=0,"-",COUNTIFS(Table16[ประเภท],G113,Table16[ฝ่าย],A126,Table16[สัปดาห์แจ้งซ่อม],"3"))</f>
        <v>-</v>
      </c>
      <c r="H126" s="44" t="str">
        <f>IF(COUNTIFS(Table16[ประเภท],H113,Table16[ฝ่าย],A126,Table16[สัปดาห์แจ้งซ่อม],"3")=0,"-",COUNTIFS(Table16[ประเภท],H113,Table16[ฝ่าย],A126,Table16[สัปดาห์แจ้งซ่อม],"3"))</f>
        <v>-</v>
      </c>
      <c r="I126" s="44" t="str">
        <f>IF(COUNTIFS(Table16[ประเภท],I113,Table16[ฝ่าย],A126,Table16[สัปดาห์แจ้งซ่อม],"3")=0,"-",COUNTIFS(Table16[ประเภท],I113,Table16[ฝ่าย],A126,Table16[สัปดาห์แจ้งซ่อม],"3"))</f>
        <v>-</v>
      </c>
      <c r="J126" s="44" t="str">
        <f>IF(COUNTIFS(Table16[ประเภท],J113,Table16[ฝ่าย],A126,Table16[สัปดาห์แจ้งซ่อม],"3")=0,"-",COUNTIFS(Table16[ประเภท],J113,Table16[ฝ่าย],A126,Table16[สัปดาห์แจ้งซ่อม],"3"))</f>
        <v>-</v>
      </c>
      <c r="K126" s="44" t="str">
        <f>IF(COUNTIFS(Table16[ประเภท],K113,Table16[ฝ่าย],A126,Table16[สัปดาห์แจ้งซ่อม],"3")=0,"-",COUNTIFS(Table16[ประเภท],K113,Table16[ฝ่าย],A126,Table16[สัปดาห์แจ้งซ่อม],"3"))</f>
        <v>-</v>
      </c>
      <c r="L126" s="44" t="str">
        <f>IF(COUNTIFS(Table16[ประเภท],L113,Table16[ฝ่าย],A126,Table16[สัปดาห์แจ้งซ่อม],"3")=0,"-",COUNTIFS(Table16[ประเภท],L113,Table16[ฝ่าย],A126,Table16[สัปดาห์แจ้งซ่อม],"3"))</f>
        <v>-</v>
      </c>
      <c r="M126" s="44" t="str">
        <f>IF(COUNTIFS(Table16[ประเภท],M113,Table16[ฝ่าย],A126,Table16[สัปดาห์แจ้งซ่อม],"3")=0,"-",COUNTIFS(Table16[ประเภท],M113,Table16[ฝ่าย],A126,Table16[สัปดาห์แจ้งซ่อม],"3"))</f>
        <v>-</v>
      </c>
      <c r="N126" s="44" t="str">
        <f>IF(COUNTIFS(Table16[ประเภท],N113,Table16[ฝ่าย],A126,Table16[สัปดาห์แจ้งซ่อม],"3")=0,"-",COUNTIFS(Table16[ประเภท],N113,Table16[ฝ่าย],A126,Table16[สัปดาห์แจ้งซ่อม],"3"))</f>
        <v>-</v>
      </c>
      <c r="O126" s="201"/>
      <c r="P126" s="189" t="str">
        <f>IF(COUNTIFS(Table16[ประเภท],P113,Table16[ฝ่าย],A126,Table16[สัปดาห์แจ้งซ่อม],"3")=0,"-",COUNTIFS(Table16[ประเภท],P113,Table16[ฝ่าย],A126,Table16[สัปดาห์แจ้งซ่อม],"3"))</f>
        <v>-</v>
      </c>
    </row>
    <row r="127" spans="1:19" ht="15" thickBot="1">
      <c r="A127" s="47" t="s">
        <v>120</v>
      </c>
      <c r="B127" s="65">
        <f>COUNTIFS(Table16[ฝ่าย],A127,Table16[สัปดาห์แจ้งซ่อม],3)</f>
        <v>0</v>
      </c>
      <c r="C127" s="50">
        <f>B127/B128</f>
        <v>0</v>
      </c>
      <c r="D127" s="44" t="str">
        <f>IF(COUNTIFS(Table16[ประเภท],D113,Table16[ฝ่าย],A127,Table16[สัปดาห์แจ้งซ่อม],"3")=0,"-",COUNTIFS(Table16[ประเภท],D113,Table16[ฝ่าย],A127,Table16[สัปดาห์แจ้งซ่อม],"3"))</f>
        <v>-</v>
      </c>
      <c r="E127" s="44" t="str">
        <f>IF(COUNTIFS(Table16[ประเภท],E113,Table16[ฝ่าย],A127,Table16[สัปดาห์แจ้งซ่อม],"3")=0,"-",COUNTIFS(Table16[ประเภท],E113,Table16[ฝ่าย],A127,Table16[สัปดาห์แจ้งซ่อม],"3"))</f>
        <v>-</v>
      </c>
      <c r="F127" s="44" t="str">
        <f>IF(COUNTIFS(Table16[ประเภท],F113,Table16[ฝ่าย],A127,Table16[สัปดาห์แจ้งซ่อม],"3")=0,"-",COUNTIFS(Table16[ประเภท],F113,Table16[ฝ่าย],A127,Table16[สัปดาห์แจ้งซ่อม],"3"))</f>
        <v>-</v>
      </c>
      <c r="G127" s="44" t="str">
        <f>IF(COUNTIFS(Table16[ประเภท],G113,Table16[ฝ่าย],A127,Table16[สัปดาห์แจ้งซ่อม],"3")=0,"-",COUNTIFS(Table16[ประเภท],G113,Table16[ฝ่าย],A127,Table16[สัปดาห์แจ้งซ่อม],"3"))</f>
        <v>-</v>
      </c>
      <c r="H127" s="44" t="str">
        <f>IF(COUNTIFS(Table16[ประเภท],H113,Table16[ฝ่าย],A127,Table16[สัปดาห์แจ้งซ่อม],"3")=0,"-",COUNTIFS(Table16[ประเภท],H113,Table16[ฝ่าย],A127,Table16[สัปดาห์แจ้งซ่อม],"3"))</f>
        <v>-</v>
      </c>
      <c r="I127" s="44" t="str">
        <f>IF(COUNTIFS(Table16[ประเภท],I113,Table16[ฝ่าย],A127,Table16[สัปดาห์แจ้งซ่อม],"3")=0,"-",COUNTIFS(Table16[ประเภท],I113,Table16[ฝ่าย],A127,Table16[สัปดาห์แจ้งซ่อม],"3"))</f>
        <v>-</v>
      </c>
      <c r="J127" s="44" t="str">
        <f>IF(COUNTIFS(Table16[ประเภท],J113,Table16[ฝ่าย],A127,Table16[สัปดาห์แจ้งซ่อม],"3")=0,"-",COUNTIFS(Table16[ประเภท],J113,Table16[ฝ่าย],A127,Table16[สัปดาห์แจ้งซ่อม],"3"))</f>
        <v>-</v>
      </c>
      <c r="K127" s="44" t="str">
        <f>IF(COUNTIFS(Table16[ประเภท],K113,Table16[ฝ่าย],A127,Table16[สัปดาห์แจ้งซ่อม],"3")=0,"-",COUNTIFS(Table16[ประเภท],K113,Table16[ฝ่าย],A127,Table16[สัปดาห์แจ้งซ่อม],"3"))</f>
        <v>-</v>
      </c>
      <c r="L127" s="44" t="str">
        <f>IF(COUNTIFS(Table16[ประเภท],L113,Table16[ฝ่าย],A127,Table16[สัปดาห์แจ้งซ่อม],"3")=0,"-",COUNTIFS(Table16[ประเภท],L113,Table16[ฝ่าย],A127,Table16[สัปดาห์แจ้งซ่อม],"3"))</f>
        <v>-</v>
      </c>
      <c r="M127" s="44" t="str">
        <f>IF(COUNTIFS(Table16[ประเภท],M113,Table16[ฝ่าย],A127,Table16[สัปดาห์แจ้งซ่อม],"3")=0,"-",COUNTIFS(Table16[ประเภท],M113,Table16[ฝ่าย],A127,Table16[สัปดาห์แจ้งซ่อม],"3"))</f>
        <v>-</v>
      </c>
      <c r="N127" s="44" t="str">
        <f>IF(COUNTIFS(Table16[ประเภท],N113,Table16[ฝ่าย],A127,Table16[สัปดาห์แจ้งซ่อม],"3")=0,"-",COUNTIFS(Table16[ประเภท],N113,Table16[ฝ่าย],A127,Table16[สัปดาห์แจ้งซ่อม],"3"))</f>
        <v>-</v>
      </c>
      <c r="O127" s="201"/>
      <c r="P127" s="189" t="str">
        <f>IF(COUNTIFS(Table16[ประเภท],P113,Table16[ฝ่าย],A127,Table16[สัปดาห์แจ้งซ่อม],"3")=0,"-",COUNTIFS(Table16[ประเภท],P113,Table16[ฝ่าย],A127,Table16[สัปดาห์แจ้งซ่อม],"3"))</f>
        <v>-</v>
      </c>
    </row>
    <row r="128" spans="1:19" ht="15" thickBot="1">
      <c r="A128" s="51" t="s">
        <v>67</v>
      </c>
      <c r="B128" s="52">
        <f>SUM(B114:B127)</f>
        <v>7</v>
      </c>
      <c r="C128" s="53">
        <f t="shared" ref="C128" si="7">SUM(C114:C126)</f>
        <v>0.99999999999999978</v>
      </c>
      <c r="D128" s="52">
        <f>SUM(D114:D127)</f>
        <v>0</v>
      </c>
      <c r="E128" s="52">
        <f t="shared" ref="E128:P128" si="8">SUM(E114:E127)</f>
        <v>0</v>
      </c>
      <c r="F128" s="52">
        <f t="shared" si="8"/>
        <v>0</v>
      </c>
      <c r="G128" s="52">
        <f t="shared" si="8"/>
        <v>0</v>
      </c>
      <c r="H128" s="52">
        <f t="shared" si="8"/>
        <v>0</v>
      </c>
      <c r="I128" s="52">
        <f t="shared" si="8"/>
        <v>1</v>
      </c>
      <c r="J128" s="52">
        <f t="shared" si="8"/>
        <v>2</v>
      </c>
      <c r="K128" s="52">
        <f t="shared" si="8"/>
        <v>3</v>
      </c>
      <c r="L128" s="52">
        <f t="shared" si="8"/>
        <v>1</v>
      </c>
      <c r="M128" s="52">
        <f t="shared" si="8"/>
        <v>0</v>
      </c>
      <c r="N128" s="52">
        <f t="shared" si="8"/>
        <v>0</v>
      </c>
      <c r="O128" s="163">
        <f t="shared" si="8"/>
        <v>0</v>
      </c>
      <c r="P128" s="163">
        <f t="shared" si="8"/>
        <v>0</v>
      </c>
      <c r="S128" s="200"/>
    </row>
    <row r="129" spans="1:16" ht="15" thickBot="1">
      <c r="A129" s="54" t="s">
        <v>68</v>
      </c>
      <c r="B129" s="55">
        <f>COUNTIFS(Table16[สถานะ],"เรียบร้อย",Table16[สัปดาห์ที่แก้ไข],3)</f>
        <v>14</v>
      </c>
      <c r="C129" s="56"/>
      <c r="D129" s="2"/>
      <c r="E129" s="2"/>
      <c r="F129" s="2"/>
      <c r="G129" s="2"/>
      <c r="H129" s="2"/>
      <c r="I129" s="2"/>
      <c r="J129" s="2"/>
      <c r="K129" s="2"/>
      <c r="L129" s="2"/>
    </row>
    <row r="130" spans="1:16" ht="15" thickBot="1">
      <c r="A130" s="57" t="s">
        <v>69</v>
      </c>
      <c r="B130" s="58">
        <f>COUNTIFS(Table16[สถานะ],"กำลังดำเนินการ",Table16[สัปดาห์แจ้งซ่อม],3)</f>
        <v>0</v>
      </c>
      <c r="C130" s="56"/>
      <c r="D130" s="2"/>
      <c r="E130" s="2"/>
      <c r="F130" s="2"/>
      <c r="G130" s="2"/>
      <c r="H130" s="2"/>
      <c r="I130" s="2"/>
      <c r="J130" s="2"/>
      <c r="K130" s="2"/>
      <c r="L130" s="2"/>
    </row>
    <row r="131" spans="1:16" ht="15" thickBot="1">
      <c r="A131" s="59" t="s">
        <v>3</v>
      </c>
      <c r="B131" s="60">
        <f>COUNTIFS(Table16[สถานะ],"รอดำเนินการ",Table16[สัปดาห์แจ้งซ่อม],3)</f>
        <v>0</v>
      </c>
      <c r="C131" s="56"/>
      <c r="D131" s="2"/>
      <c r="E131" s="2"/>
      <c r="F131" s="2"/>
      <c r="G131" s="2"/>
      <c r="H131" s="2"/>
      <c r="I131" s="2"/>
      <c r="J131" s="2"/>
      <c r="K131" s="2"/>
      <c r="L131" s="2"/>
    </row>
    <row r="132" spans="1:16" ht="16.2" thickBot="1">
      <c r="A132" s="61" t="s">
        <v>70</v>
      </c>
      <c r="B132" s="62">
        <f>COUNTIFS(Table16[สถานะ],"โอนย้าย",Table16[สัปดาห์แจ้งซ่อม],3)</f>
        <v>1</v>
      </c>
    </row>
    <row r="133" spans="1:16" ht="30" customHeight="1" thickBot="1">
      <c r="A133" s="312" t="s">
        <v>371</v>
      </c>
      <c r="B133" s="303"/>
      <c r="C133" s="303"/>
      <c r="D133" s="303"/>
      <c r="E133" s="303"/>
      <c r="F133" s="303"/>
      <c r="G133" s="303"/>
      <c r="H133" s="303"/>
      <c r="I133" s="303"/>
      <c r="J133" s="303"/>
      <c r="K133" s="303"/>
      <c r="L133" s="303"/>
      <c r="M133" s="303"/>
      <c r="N133" s="303"/>
      <c r="O133" s="303"/>
      <c r="P133" s="303"/>
    </row>
    <row r="134" spans="1:16" ht="18.600000000000001" thickBot="1">
      <c r="A134" s="304" t="s">
        <v>368</v>
      </c>
      <c r="B134" s="304" t="s">
        <v>42</v>
      </c>
      <c r="C134" s="306" t="s">
        <v>43</v>
      </c>
      <c r="D134" s="308" t="s">
        <v>44</v>
      </c>
      <c r="E134" s="309"/>
      <c r="F134" s="309"/>
      <c r="G134" s="309"/>
      <c r="H134" s="309"/>
      <c r="I134" s="309"/>
      <c r="J134" s="309"/>
      <c r="K134" s="309"/>
      <c r="L134" s="309"/>
      <c r="M134" s="309"/>
      <c r="N134" s="309"/>
      <c r="O134" s="309"/>
      <c r="P134" s="309"/>
    </row>
    <row r="135" spans="1:16" ht="15" thickBot="1">
      <c r="A135" s="305"/>
      <c r="B135" s="305"/>
      <c r="C135" s="307"/>
      <c r="D135" s="43" t="s">
        <v>45</v>
      </c>
      <c r="E135" s="43" t="s">
        <v>46</v>
      </c>
      <c r="F135" s="44" t="s">
        <v>47</v>
      </c>
      <c r="G135" s="44" t="s">
        <v>48</v>
      </c>
      <c r="H135" s="44" t="s">
        <v>49</v>
      </c>
      <c r="I135" s="44" t="s">
        <v>50</v>
      </c>
      <c r="J135" s="44" t="s">
        <v>51</v>
      </c>
      <c r="K135" s="44" t="s">
        <v>52</v>
      </c>
      <c r="L135" s="45" t="s">
        <v>53</v>
      </c>
      <c r="M135" s="46" t="s">
        <v>72</v>
      </c>
      <c r="N135" s="46" t="s">
        <v>117</v>
      </c>
      <c r="O135" s="161" t="s">
        <v>376</v>
      </c>
      <c r="P135" s="189" t="s">
        <v>357</v>
      </c>
    </row>
    <row r="136" spans="1:16" ht="15" thickBot="1">
      <c r="A136" s="47" t="s">
        <v>54</v>
      </c>
      <c r="B136" s="48">
        <f>COUNTIFS(Table16[ฝ่าย],A136,Table16[สัปดาห์แจ้งซ่อม],4)</f>
        <v>5</v>
      </c>
      <c r="C136" s="49">
        <f>B136/B150</f>
        <v>0.7142857142857143</v>
      </c>
      <c r="D136" s="44" t="str">
        <f>IF(COUNTIFS(Table16[ประเภท],D135,Table16[ฝ่าย],A136,Table16[สัปดาห์แจ้งซ่อม],"4")=0,"-",COUNTIFS(Table16[ประเภท],D135,Table16[ฝ่าย],A136,Table16[สัปดาห์แจ้งซ่อม],"4"))</f>
        <v>-</v>
      </c>
      <c r="E136" s="44" t="str">
        <f>IF(COUNTIFS(Table16[ประเภท],E135,Table16[ฝ่าย],A136,Table16[สัปดาห์แจ้งซ่อม],"4")=0,"-",COUNTIFS(Table16[ประเภท],E135,Table16[ฝ่าย],A136,Table16[สัปดาห์แจ้งซ่อม],"4"))</f>
        <v>-</v>
      </c>
      <c r="F136" s="44" t="str">
        <f>IF(COUNTIFS(Table16[ประเภท],F135,Table16[ฝ่าย],A136,Table16[สัปดาห์แจ้งซ่อม],"4")=0,"-",COUNTIFS(Table16[ประเภท],F135,Table16[ฝ่าย],A136,Table16[สัปดาห์แจ้งซ่อม],"4"))</f>
        <v>-</v>
      </c>
      <c r="G136" s="44">
        <f>IF(COUNTIFS(Table16[ประเภท],G135,Table16[ฝ่าย],A136,Table16[สัปดาห์แจ้งซ่อม],"4")=0,"-",COUNTIFS(Table16[ประเภท],G135,Table16[ฝ่าย],A136,Table16[สัปดาห์แจ้งซ่อม],"4"))</f>
        <v>1</v>
      </c>
      <c r="H136" s="44" t="str">
        <f>IF(COUNTIFS(Table16[ประเภท],H135,Table16[ฝ่าย],A136,Table16[สัปดาห์แจ้งซ่อม],"4")=0,"-",COUNTIFS(Table16[ประเภท],H135,Table16[ฝ่าย],A136,Table16[สัปดาห์แจ้งซ่อม],"4"))</f>
        <v>-</v>
      </c>
      <c r="I136" s="44" t="str">
        <f>IF(COUNTIFS(Table16[ประเภท],I135,Table16[ฝ่าย],A136,Table16[สัปดาห์แจ้งซ่อม],"4")=0,"-",COUNTIFS(Table16[ประเภท],I135,Table16[ฝ่าย],A136,Table16[สัปดาห์แจ้งซ่อม],"4"))</f>
        <v>-</v>
      </c>
      <c r="J136" s="44">
        <f>IF(COUNTIFS(Table16[ประเภท],J135,Table16[ฝ่าย],A136,Table16[สัปดาห์แจ้งซ่อม],"4")=0,"-",COUNTIFS(Table16[ประเภท],J135,Table16[ฝ่าย],A136,Table16[สัปดาห์แจ้งซ่อม],"4"))</f>
        <v>1</v>
      </c>
      <c r="K136" s="44" t="str">
        <f>IF(COUNTIFS(Table16[ประเภท],K135,Table16[ฝ่าย],A136,Table16[สัปดาห์แจ้งซ่อม],"4")=0,"-",COUNTIFS(Table16[ประเภท],K135,Table16[ฝ่าย],A136,Table16[สัปดาห์แจ้งซ่อม],"4"))</f>
        <v>-</v>
      </c>
      <c r="L136" s="44">
        <f>IF(COUNTIFS(Table16[ประเภท],L135,Table16[ฝ่าย],A136,Table16[สัปดาห์แจ้งซ่อม],"4")=0,"-",COUNTIFS(Table16[ประเภท],L135,Table16[ฝ่าย],A136,Table16[สัปดาห์แจ้งซ่อม],"4"))</f>
        <v>1</v>
      </c>
      <c r="M136" s="44">
        <f>IF(COUNTIFS(Table16[ประเภท],M135,Table16[ฝ่าย],A136,Table16[สัปดาห์แจ้งซ่อม],"4")=0,"-",COUNTIFS(Table16[ประเภท],M135,Table16[ฝ่าย],A136,Table16[สัปดาห์แจ้งซ่อม],"4"))</f>
        <v>1</v>
      </c>
      <c r="N136" s="44">
        <f>IF(COUNTIFS(Table16[ประเภท],N135,Table16[ฝ่าย],A136,Table16[สัปดาห์แจ้งซ่อม],"4")=0,"-",COUNTIFS(Table16[ประเภท],N135,Table16[ฝ่าย],A136,Table16[สัปดาห์แจ้งซ่อม],"4"))</f>
        <v>1</v>
      </c>
      <c r="O136" s="162" t="str">
        <f>IF(COUNTIFS(Table16[ประเภท],O135,Table16[ฝ่าย],A136,Table16[สัปดาห์แจ้งซ่อม],"4")=0,"-",COUNTIFS(Table16[ประเภท],O135,Table16[ฝ่าย],A136,Table16[สัปดาห์แจ้งซ่อม],"4"))</f>
        <v>-</v>
      </c>
      <c r="P136" s="190" t="str">
        <f>IF(COUNTIFS(Table16[ประเภท],P135,Table16[ฝ่าย],A136,Table16[สัปดาห์แจ้งซ่อม],"4")=0,"-",COUNTIFS(Table16[ประเภท],P135,Table16[ฝ่าย],A136,Table16[สัปดาห์แจ้งซ่อม],"4"))</f>
        <v>-</v>
      </c>
    </row>
    <row r="137" spans="1:16" ht="15" thickBot="1">
      <c r="A137" s="47" t="s">
        <v>55</v>
      </c>
      <c r="B137" s="48">
        <f>COUNTIFS(Table16[ฝ่าย],A137,Table16[สัปดาห์แจ้งซ่อม],4)</f>
        <v>0</v>
      </c>
      <c r="C137" s="49">
        <f>B137/B150</f>
        <v>0</v>
      </c>
      <c r="D137" s="44" t="str">
        <f>IF(COUNTIFS(Table16[ประเภท],D135,Table16[ฝ่าย],A137,Table16[สัปดาห์แจ้งซ่อม],"4")=0,"-",COUNTIFS(Table16[ประเภท],D135,Table16[ฝ่าย],A137,Table16[สัปดาห์แจ้งซ่อม],"4"))</f>
        <v>-</v>
      </c>
      <c r="E137" s="44" t="str">
        <f>IF(COUNTIFS(Table16[ประเภท],E135,Table16[ฝ่าย],A137,Table16[สัปดาห์แจ้งซ่อม],"4")=0,"-",COUNTIFS(Table16[ประเภท],E135,Table16[ฝ่าย],A137,Table16[สัปดาห์แจ้งซ่อม],"4"))</f>
        <v>-</v>
      </c>
      <c r="F137" s="44" t="str">
        <f>IF(COUNTIFS(Table16[ประเภท],F135,Table16[ฝ่าย],A137,Table16[สัปดาห์แจ้งซ่อม],"4")=0,"-",COUNTIFS(Table16[ประเภท],F135,Table16[ฝ่าย],A137,Table16[สัปดาห์แจ้งซ่อม],"4"))</f>
        <v>-</v>
      </c>
      <c r="G137" s="44" t="str">
        <f>IF(COUNTIFS(Table16[ประเภท],G135,Table16[ฝ่าย],A137,Table16[สัปดาห์แจ้งซ่อม],"4")=0,"-",COUNTIFS(Table16[ประเภท],G135,Table16[ฝ่าย],A137,Table16[สัปดาห์แจ้งซ่อม],"4"))</f>
        <v>-</v>
      </c>
      <c r="H137" s="44" t="str">
        <f>IF(COUNTIFS(Table16[ประเภท],H135,Table16[ฝ่าย],A137,Table16[สัปดาห์แจ้งซ่อม],"4")=0,"-",COUNTIFS(Table16[ประเภท],H135,Table16[ฝ่าย],A137,Table16[สัปดาห์แจ้งซ่อม],"4"))</f>
        <v>-</v>
      </c>
      <c r="I137" s="44" t="str">
        <f>IF(COUNTIFS(Table16[ประเภท],I135,Table16[ฝ่าย],A137,Table16[สัปดาห์แจ้งซ่อม],"4")=0,"-",COUNTIFS(Table16[ประเภท],I135,Table16[ฝ่าย],A137,Table16[สัปดาห์แจ้งซ่อม],"4"))</f>
        <v>-</v>
      </c>
      <c r="J137" s="44" t="str">
        <f>IF(COUNTIFS(Table16[ประเภท],J135,Table16[ฝ่าย],A137,Table16[สัปดาห์แจ้งซ่อม],"4")=0,"-",COUNTIFS(Table16[ประเภท],J135,Table16[ฝ่าย],A137,Table16[สัปดาห์แจ้งซ่อม],"4"))</f>
        <v>-</v>
      </c>
      <c r="K137" s="44" t="str">
        <f>IF(COUNTIFS(Table16[ประเภท],K135,Table16[ฝ่าย],A137,Table16[สัปดาห์แจ้งซ่อม],"4")=0,"-",COUNTIFS(Table16[ประเภท],K135,Table16[ฝ่าย],A137,Table16[สัปดาห์แจ้งซ่อม],"4"))</f>
        <v>-</v>
      </c>
      <c r="L137" s="44" t="str">
        <f>IF(COUNTIFS(Table16[ประเภท],L135,Table16[ฝ่าย],A137,Table16[สัปดาห์แจ้งซ่อม],"4")=0,"-",COUNTIFS(Table16[ประเภท],L135,Table16[ฝ่าย],A137,Table16[สัปดาห์แจ้งซ่อม],"4"))</f>
        <v>-</v>
      </c>
      <c r="M137" s="44" t="str">
        <f>IF(COUNTIFS(Table16[ประเภท],M135,Table16[ฝ่าย],A137,Table16[สัปดาห์แจ้งซ่อม],"4")=0,"-",COUNTIFS(Table16[ประเภท],M135,Table16[ฝ่าย],A137,Table16[สัปดาห์แจ้งซ่อม],"4"))</f>
        <v>-</v>
      </c>
      <c r="N137" s="44" t="str">
        <f>IF(COUNTIFS(Table16[ประเภท],N135,Table16[ฝ่าย],A137,Table16[สัปดาห์แจ้งซ่อม],"4")=0,"-",COUNTIFS(Table16[ประเภท],N135,Table16[ฝ่าย],A137,Table16[สัปดาห์แจ้งซ่อม],"4"))</f>
        <v>-</v>
      </c>
      <c r="O137" s="162"/>
      <c r="P137" s="190" t="str">
        <f>IF(COUNTIFS(Table16[ประเภท],P135,Table16[ฝ่าย],A137,Table16[สัปดาห์แจ้งซ่อม],"4")=0,"-",COUNTIFS(Table16[ประเภท],P135,Table16[ฝ่าย],A137,Table16[สัปดาห์แจ้งซ่อม],"4"))</f>
        <v>-</v>
      </c>
    </row>
    <row r="138" spans="1:16" ht="15" thickBot="1">
      <c r="A138" s="47" t="s">
        <v>56</v>
      </c>
      <c r="B138" s="48">
        <f>COUNTIFS(Table16[ฝ่าย],A138,Table16[สัปดาห์แจ้งซ่อม],4)</f>
        <v>0</v>
      </c>
      <c r="C138" s="49">
        <f>B138/B150</f>
        <v>0</v>
      </c>
      <c r="D138" s="44" t="str">
        <f>IF(COUNTIFS(Table16[ประเภท],D135,Table16[ฝ่าย],A138,Table16[สัปดาห์แจ้งซ่อม],"4")=0,"-",COUNTIFS(Table16[ประเภท],D135,Table16[ฝ่าย],A138,Table16[สัปดาห์แจ้งซ่อม],"4"))</f>
        <v>-</v>
      </c>
      <c r="E138" s="44" t="str">
        <f>IF(COUNTIFS(Table16[ประเภท],E135,Table16[ฝ่าย],A138,Table16[สัปดาห์แจ้งซ่อม],"4")=0,"-",COUNTIFS(Table16[ประเภท],E135,Table16[ฝ่าย],A138,Table16[สัปดาห์แจ้งซ่อม],"4"))</f>
        <v>-</v>
      </c>
      <c r="F138" s="44" t="str">
        <f>IF(COUNTIFS(Table16[ประเภท],F135,Table16[ฝ่าย],A138,Table16[สัปดาห์แจ้งซ่อม],"4")=0,"-",COUNTIFS(Table16[ประเภท],F135,Table16[ฝ่าย],A138,Table16[สัปดาห์แจ้งซ่อม],"4"))</f>
        <v>-</v>
      </c>
      <c r="G138" s="44" t="str">
        <f>IF(COUNTIFS(Table16[ประเภท],G135,Table16[ฝ่าย],A138,Table16[สัปดาห์แจ้งซ่อม],"4")=0,"-",COUNTIFS(Table16[ประเภท],G135,Table16[ฝ่าย],A138,Table16[สัปดาห์แจ้งซ่อม],"4"))</f>
        <v>-</v>
      </c>
      <c r="H138" s="44" t="str">
        <f>IF(COUNTIFS(Table16[ประเภท],H135,Table16[ฝ่าย],A138,Table16[สัปดาห์แจ้งซ่อม],"4")=0,"-",COUNTIFS(Table16[ประเภท],H135,Table16[ฝ่าย],A138,Table16[สัปดาห์แจ้งซ่อม],"4"))</f>
        <v>-</v>
      </c>
      <c r="I138" s="44" t="str">
        <f>IF(COUNTIFS(Table16[ประเภท],I135,Table16[ฝ่าย],A138,Table16[สัปดาห์แจ้งซ่อม],"4")=0,"-",COUNTIFS(Table16[ประเภท],I135,Table16[ฝ่าย],A138,Table16[สัปดาห์แจ้งซ่อม],"4"))</f>
        <v>-</v>
      </c>
      <c r="J138" s="44" t="str">
        <f>IF(COUNTIFS(Table16[ประเภท],J135,Table16[ฝ่าย],A138,Table16[สัปดาห์แจ้งซ่อม],"4")=0,"-",COUNTIFS(Table16[ประเภท],J135,Table16[ฝ่าย],A138,Table16[สัปดาห์แจ้งซ่อม],"4"))</f>
        <v>-</v>
      </c>
      <c r="K138" s="44" t="str">
        <f>IF(COUNTIFS(Table16[ประเภท],K135,Table16[ฝ่าย],A138,Table16[สัปดาห์แจ้งซ่อม],"4")=0,"-",COUNTIFS(Table16[ประเภท],K135,Table16[ฝ่าย],A138,Table16[สัปดาห์แจ้งซ่อม],"4"))</f>
        <v>-</v>
      </c>
      <c r="L138" s="44" t="str">
        <f>IF(COUNTIFS(Table16[ประเภท],L135,Table16[ฝ่าย],A138,Table16[สัปดาห์แจ้งซ่อม],"4")=0,"-",COUNTIFS(Table16[ประเภท],L135,Table16[ฝ่าย],A138,Table16[สัปดาห์แจ้งซ่อม],"4"))</f>
        <v>-</v>
      </c>
      <c r="M138" s="44" t="str">
        <f>IF(COUNTIFS(Table16[ประเภท],M135,Table16[ฝ่าย],A138,Table16[สัปดาห์แจ้งซ่อม],"4")=0,"-",COUNTIFS(Table16[ประเภท],M135,Table16[ฝ่าย],A138,Table16[สัปดาห์แจ้งซ่อม],"4"))</f>
        <v>-</v>
      </c>
      <c r="N138" s="44" t="str">
        <f>IF(COUNTIFS(Table16[ประเภท],N135,Table16[ฝ่าย],A138,Table16[สัปดาห์แจ้งซ่อม],"4")=0,"-",COUNTIFS(Table16[ประเภท],N135,Table16[ฝ่าย],A138,Table16[สัปดาห์แจ้งซ่อม],"4"))</f>
        <v>-</v>
      </c>
      <c r="O138" s="162"/>
      <c r="P138" s="190" t="str">
        <f>IF(COUNTIFS(Table16[ประเภท],P135,Table16[ฝ่าย],A138,Table16[สัปดาห์แจ้งซ่อม],"4")=0,"-",COUNTIFS(Table16[ประเภท],P135,Table16[ฝ่าย],A138,Table16[สัปดาห์แจ้งซ่อม],"4"))</f>
        <v>-</v>
      </c>
    </row>
    <row r="139" spans="1:16" ht="15" thickBot="1">
      <c r="A139" s="47" t="s">
        <v>57</v>
      </c>
      <c r="B139" s="48">
        <f>COUNTIFS(Table16[ฝ่าย],A139,Table16[สัปดาห์แจ้งซ่อม],4)</f>
        <v>0</v>
      </c>
      <c r="C139" s="64">
        <f>B139/B150</f>
        <v>0</v>
      </c>
      <c r="D139" s="44" t="str">
        <f>IF(COUNTIFS(Table16[ประเภท],D135,Table16[ฝ่าย],A139,Table16[สัปดาห์แจ้งซ่อม],"4")=0,"-",COUNTIFS(Table16[ประเภท],D135,Table16[ฝ่าย],A139,Table16[สัปดาห์แจ้งซ่อม],"4"))</f>
        <v>-</v>
      </c>
      <c r="E139" s="44" t="str">
        <f>IF(COUNTIFS(Table16[ประเภท],E135,Table16[ฝ่าย],A139,Table16[สัปดาห์แจ้งซ่อม],"4")=0,"-",COUNTIFS(Table16[ประเภท],E135,Table16[ฝ่าย],A139,Table16[สัปดาห์แจ้งซ่อม],"4"))</f>
        <v>-</v>
      </c>
      <c r="F139" s="44" t="str">
        <f>IF(COUNTIFS(Table16[ประเภท],F135,Table16[ฝ่าย],A139,Table16[สัปดาห์แจ้งซ่อม],"4")=0,"-",COUNTIFS(Table16[ประเภท],F135,Table16[ฝ่าย],A139,Table16[สัปดาห์แจ้งซ่อม],"4"))</f>
        <v>-</v>
      </c>
      <c r="G139" s="44" t="str">
        <f>IF(COUNTIFS(Table16[ประเภท],G135,Table16[ฝ่าย],A139,Table16[สัปดาห์แจ้งซ่อม],"4")=0,"-",COUNTIFS(Table16[ประเภท],G135,Table16[ฝ่าย],A139,Table16[สัปดาห์แจ้งซ่อม],"4"))</f>
        <v>-</v>
      </c>
      <c r="H139" s="44" t="str">
        <f>IF(COUNTIFS(Table16[ประเภท],H135,Table16[ฝ่าย],A139,Table16[สัปดาห์แจ้งซ่อม],"4")=0,"-",COUNTIFS(Table16[ประเภท],H135,Table16[ฝ่าย],A139,Table16[สัปดาห์แจ้งซ่อม],"4"))</f>
        <v>-</v>
      </c>
      <c r="I139" s="44" t="str">
        <f>IF(COUNTIFS(Table16[ประเภท],I135,Table16[ฝ่าย],A139,Table16[สัปดาห์แจ้งซ่อม],"4")=0,"-",COUNTIFS(Table16[ประเภท],I135,Table16[ฝ่าย],A139,Table16[สัปดาห์แจ้งซ่อม],"4"))</f>
        <v>-</v>
      </c>
      <c r="J139" s="44" t="str">
        <f>IF(COUNTIFS(Table16[ประเภท],J135,Table16[ฝ่าย],A139,Table16[สัปดาห์แจ้งซ่อม],"4")=0,"-",COUNTIFS(Table16[ประเภท],J135,Table16[ฝ่าย],A139,Table16[สัปดาห์แจ้งซ่อม],"4"))</f>
        <v>-</v>
      </c>
      <c r="K139" s="44" t="str">
        <f>IF(COUNTIFS(Table16[ประเภท],K135,Table16[ฝ่าย],A139,Table16[สัปดาห์แจ้งซ่อม],"4")=0,"-",COUNTIFS(Table16[ประเภท],K135,Table16[ฝ่าย],A139,Table16[สัปดาห์แจ้งซ่อม],"4"))</f>
        <v>-</v>
      </c>
      <c r="L139" s="44" t="str">
        <f>IF(COUNTIFS(Table16[ประเภท],L135,Table16[ฝ่าย],A139,Table16[สัปดาห์แจ้งซ่อม],"4")=0,"-",COUNTIFS(Table16[ประเภท],L135,Table16[ฝ่าย],A139,Table16[สัปดาห์แจ้งซ่อม],"4"))</f>
        <v>-</v>
      </c>
      <c r="M139" s="44" t="str">
        <f>IF(COUNTIFS(Table16[ประเภท],M135,Table16[ฝ่าย],A139,Table16[สัปดาห์แจ้งซ่อม],"4")=0,"-",COUNTIFS(Table16[ประเภท],M135,Table16[ฝ่าย],A139,Table16[สัปดาห์แจ้งซ่อม],"4"))</f>
        <v>-</v>
      </c>
      <c r="N139" s="44" t="str">
        <f>IF(COUNTIFS(Table16[ประเภท],N135,Table16[ฝ่าย],A139,Table16[สัปดาห์แจ้งซ่อม],"4")=0,"-",COUNTIFS(Table16[ประเภท],N135,Table16[ฝ่าย],A139,Table16[สัปดาห์แจ้งซ่อม],"4"))</f>
        <v>-</v>
      </c>
      <c r="O139" s="162"/>
      <c r="P139" s="190" t="str">
        <f>IF(COUNTIFS(Table16[ประเภท],P135,Table16[ฝ่าย],A139,Table16[สัปดาห์แจ้งซ่อม],"4")=0,"-",COUNTIFS(Table16[ประเภท],P135,Table16[ฝ่าย],A139,Table16[สัปดาห์แจ้งซ่อม],"4"))</f>
        <v>-</v>
      </c>
    </row>
    <row r="140" spans="1:16" ht="15" thickBot="1">
      <c r="A140" s="47" t="s">
        <v>58</v>
      </c>
      <c r="B140" s="48">
        <f>COUNTIFS(Table16[ฝ่าย],A140,Table16[สัปดาห์แจ้งซ่อม],4)</f>
        <v>0</v>
      </c>
      <c r="C140" s="49">
        <f>B140/B150</f>
        <v>0</v>
      </c>
      <c r="D140" s="44" t="str">
        <f>IF(COUNTIFS(Table16[ประเภท],D135,Table16[ฝ่าย],A140,Table16[สัปดาห์แจ้งซ่อม],"4")=0,"-",COUNTIFS(Table16[ประเภท],D135,Table16[ฝ่าย],A140,Table16[สัปดาห์แจ้งซ่อม],"4"))</f>
        <v>-</v>
      </c>
      <c r="E140" s="44" t="str">
        <f>IF(COUNTIFS(Table16[ประเภท],E135,Table16[ฝ่าย],A140,Table16[สัปดาห์แจ้งซ่อม],"4")=0,"-",COUNTIFS(Table16[ประเภท],E135,Table16[ฝ่าย],A140,Table16[สัปดาห์แจ้งซ่อม],"4"))</f>
        <v>-</v>
      </c>
      <c r="F140" s="44" t="str">
        <f>IF(COUNTIFS(Table16[ประเภท],F135,Table16[ฝ่าย],A140,Table16[สัปดาห์แจ้งซ่อม],"4")=0,"-",COUNTIFS(Table16[ประเภท],F135,Table16[ฝ่าย],A140,Table16[สัปดาห์แจ้งซ่อม],"4"))</f>
        <v>-</v>
      </c>
      <c r="G140" s="44" t="str">
        <f>IF(COUNTIFS(Table16[ประเภท],G135,Table16[ฝ่าย],A140,Table16[สัปดาห์แจ้งซ่อม],"4")=0,"-",COUNTIFS(Table16[ประเภท],G135,Table16[ฝ่าย],A140,Table16[สัปดาห์แจ้งซ่อม],"4"))</f>
        <v>-</v>
      </c>
      <c r="H140" s="44" t="str">
        <f>IF(COUNTIFS(Table16[ประเภท],H135,Table16[ฝ่าย],A140,Table16[สัปดาห์แจ้งซ่อม],"4")=0,"-",COUNTIFS(Table16[ประเภท],H135,Table16[ฝ่าย],A140,Table16[สัปดาห์แจ้งซ่อม],"4"))</f>
        <v>-</v>
      </c>
      <c r="I140" s="44" t="str">
        <f>IF(COUNTIFS(Table16[ประเภท],I135,Table16[ฝ่าย],A140,Table16[สัปดาห์แจ้งซ่อม],"4")=0,"-",COUNTIFS(Table16[ประเภท],I135,Table16[ฝ่าย],A140,Table16[สัปดาห์แจ้งซ่อม],"4"))</f>
        <v>-</v>
      </c>
      <c r="J140" s="44" t="str">
        <f>IF(COUNTIFS(Table16[ประเภท],J135,Table16[ฝ่าย],A140,Table16[สัปดาห์แจ้งซ่อม],"4")=0,"-",COUNTIFS(Table16[ประเภท],J135,Table16[ฝ่าย],A140,Table16[สัปดาห์แจ้งซ่อม],"4"))</f>
        <v>-</v>
      </c>
      <c r="K140" s="44" t="str">
        <f>IF(COUNTIFS(Table16[ประเภท],K135,Table16[ฝ่าย],A140,Table16[สัปดาห์แจ้งซ่อม],"4")=0,"-",COUNTIFS(Table16[ประเภท],K135,Table16[ฝ่าย],A140,Table16[สัปดาห์แจ้งซ่อม],"4"))</f>
        <v>-</v>
      </c>
      <c r="L140" s="44" t="str">
        <f>IF(COUNTIFS(Table16[ประเภท],L135,Table16[ฝ่าย],A140,Table16[สัปดาห์แจ้งซ่อม],"4")=0,"-",COUNTIFS(Table16[ประเภท],L135,Table16[ฝ่าย],A140,Table16[สัปดาห์แจ้งซ่อม],"4"))</f>
        <v>-</v>
      </c>
      <c r="M140" s="44" t="str">
        <f>IF(COUNTIFS(Table16[ประเภท],M135,Table16[ฝ่าย],A140,Table16[สัปดาห์แจ้งซ่อม],"4")=0,"-",COUNTIFS(Table16[ประเภท],M135,Table16[ฝ่าย],A140,Table16[สัปดาห์แจ้งซ่อม],"4"))</f>
        <v>-</v>
      </c>
      <c r="N140" s="44" t="str">
        <f>IF(COUNTIFS(Table16[ประเภท],N135,Table16[ฝ่าย],A140,Table16[สัปดาห์แจ้งซ่อม],"4")=0,"-",COUNTIFS(Table16[ประเภท],N135,Table16[ฝ่าย],A140,Table16[สัปดาห์แจ้งซ่อม],"4"))</f>
        <v>-</v>
      </c>
      <c r="O140" s="162"/>
      <c r="P140" s="190" t="str">
        <f>IF(COUNTIFS(Table16[ประเภท],P135,Table16[ฝ่าย],A140,Table16[สัปดาห์แจ้งซ่อม],"4")=0,"-",COUNTIFS(Table16[ประเภท],P135,Table16[ฝ่าย],A140,Table16[สัปดาห์แจ้งซ่อม],"4"))</f>
        <v>-</v>
      </c>
    </row>
    <row r="141" spans="1:16" ht="15" thickBot="1">
      <c r="A141" s="47" t="s">
        <v>59</v>
      </c>
      <c r="B141" s="48">
        <f>COUNTIFS(Table16[ฝ่าย],A141,Table16[สัปดาห์แจ้งซ่อม],4)</f>
        <v>0</v>
      </c>
      <c r="C141" s="49">
        <f>B141/B150</f>
        <v>0</v>
      </c>
      <c r="D141" s="44" t="str">
        <f>IF(COUNTIFS(Table16[ประเภท],D135,Table16[ฝ่าย],A141,Table16[สัปดาห์แจ้งซ่อม],"4")=0,"-",COUNTIFS(Table16[ประเภท],D135,Table16[ฝ่าย],A141,Table16[สัปดาห์แจ้งซ่อม],"4"))</f>
        <v>-</v>
      </c>
      <c r="E141" s="44" t="str">
        <f>IF(COUNTIFS(Table16[ประเภท],E135,Table16[ฝ่าย],A141,Table16[สัปดาห์แจ้งซ่อม],"4")=0,"-",COUNTIFS(Table16[ประเภท],E135,Table16[ฝ่าย],A141,Table16[สัปดาห์แจ้งซ่อม],"4"))</f>
        <v>-</v>
      </c>
      <c r="F141" s="44" t="str">
        <f>IF(COUNTIFS(Table16[ประเภท],F135,Table16[ฝ่าย],A141,Table16[สัปดาห์แจ้งซ่อม],"4")=0,"-",COUNTIFS(Table16[ประเภท],F135,Table16[ฝ่าย],A141,Table16[สัปดาห์แจ้งซ่อม],"4"))</f>
        <v>-</v>
      </c>
      <c r="G141" s="44" t="str">
        <f>IF(COUNTIFS(Table16[ประเภท],G135,Table16[ฝ่าย],A141,Table16[สัปดาห์แจ้งซ่อม],"4")=0,"-",COUNTIFS(Table16[ประเภท],G135,Table16[ฝ่าย],A141,Table16[สัปดาห์แจ้งซ่อม],"4"))</f>
        <v>-</v>
      </c>
      <c r="H141" s="44" t="str">
        <f>IF(COUNTIFS(Table16[ประเภท],H135,Table16[ฝ่าย],A141,Table16[สัปดาห์แจ้งซ่อม],"4")=0,"-",COUNTIFS(Table16[ประเภท],H135,Table16[ฝ่าย],A141,Table16[สัปดาห์แจ้งซ่อม],"4"))</f>
        <v>-</v>
      </c>
      <c r="I141" s="44" t="str">
        <f>IF(COUNTIFS(Table16[ประเภท],I135,Table16[ฝ่าย],A141,Table16[สัปดาห์แจ้งซ่อม],"4")=0,"-",COUNTIFS(Table16[ประเภท],I135,Table16[ฝ่าย],A141,Table16[สัปดาห์แจ้งซ่อม],"4"))</f>
        <v>-</v>
      </c>
      <c r="J141" s="44" t="str">
        <f>IF(COUNTIFS(Table16[ประเภท],J135,Table16[ฝ่าย],A141,Table16[สัปดาห์แจ้งซ่อม],"4")=0,"-",COUNTIFS(Table16[ประเภท],J135,Table16[ฝ่าย],A141,Table16[สัปดาห์แจ้งซ่อม],"4"))</f>
        <v>-</v>
      </c>
      <c r="K141" s="44" t="str">
        <f>IF(COUNTIFS(Table16[ประเภท],K135,Table16[ฝ่าย],A141,Table16[สัปดาห์แจ้งซ่อม],"4")=0,"-",COUNTIFS(Table16[ประเภท],K135,Table16[ฝ่าย],A141,Table16[สัปดาห์แจ้งซ่อม],"4"))</f>
        <v>-</v>
      </c>
      <c r="L141" s="44" t="str">
        <f>IF(COUNTIFS(Table16[ประเภท],L135,Table16[ฝ่าย],A141,Table16[สัปดาห์แจ้งซ่อม],"4")=0,"-",COUNTIFS(Table16[ประเภท],L135,Table16[ฝ่าย],A141,Table16[สัปดาห์แจ้งซ่อม],"4"))</f>
        <v>-</v>
      </c>
      <c r="M141" s="44" t="str">
        <f>IF(COUNTIFS(Table16[ประเภท],M135,Table16[ฝ่าย],A141,Table16[สัปดาห์แจ้งซ่อม],"4")=0,"-",COUNTIFS(Table16[ประเภท],M135,Table16[ฝ่าย],A141,Table16[สัปดาห์แจ้งซ่อม],"4"))</f>
        <v>-</v>
      </c>
      <c r="N141" s="44" t="str">
        <f>IF(COUNTIFS(Table16[ประเภท],N135,Table16[ฝ่าย],A141,Table16[สัปดาห์แจ้งซ่อม],"4")=0,"-",COUNTIFS(Table16[ประเภท],N135,Table16[ฝ่าย],A141,Table16[สัปดาห์แจ้งซ่อม],"4"))</f>
        <v>-</v>
      </c>
      <c r="O141" s="162"/>
      <c r="P141" s="190" t="str">
        <f>IF(COUNTIFS(Table16[ประเภท],P135,Table16[ฝ่าย],A141,Table16[สัปดาห์แจ้งซ่อม],"4")=0,"-",COUNTIFS(Table16[ประเภท],P135,Table16[ฝ่าย],A141,Table16[สัปดาห์แจ้งซ่อม],"4"))</f>
        <v>-</v>
      </c>
    </row>
    <row r="142" spans="1:16" ht="15" thickBot="1">
      <c r="A142" s="47" t="s">
        <v>60</v>
      </c>
      <c r="B142" s="48">
        <f>COUNTIFS(Table16[ฝ่าย],A142,Table16[สัปดาห์แจ้งซ่อม],4)</f>
        <v>0</v>
      </c>
      <c r="C142" s="49">
        <f>B142/B150</f>
        <v>0</v>
      </c>
      <c r="D142" s="44" t="str">
        <f>IF(COUNTIFS(Table16[ประเภท],D135,Table16[ฝ่าย],A142,Table16[สัปดาห์แจ้งซ่อม],"4")=0,"-",COUNTIFS(Table16[ประเภท],D135,Table16[ฝ่าย],A142,Table16[สัปดาห์แจ้งซ่อม],"4"))</f>
        <v>-</v>
      </c>
      <c r="E142" s="44" t="str">
        <f>IF(COUNTIFS(Table16[ประเภท],E135,Table16[ฝ่าย],A142,Table16[สัปดาห์แจ้งซ่อม],"4")=0,"-",COUNTIFS(Table16[ประเภท],E135,Table16[ฝ่าย],A142,Table16[สัปดาห์แจ้งซ่อม],"4"))</f>
        <v>-</v>
      </c>
      <c r="F142" s="44" t="str">
        <f>IF(COUNTIFS(Table16[ประเภท],F135,Table16[ฝ่าย],A142,Table16[สัปดาห์แจ้งซ่อม],"4")=0,"-",COUNTIFS(Table16[ประเภท],F135,Table16[ฝ่าย],A142,Table16[สัปดาห์แจ้งซ่อม],"4"))</f>
        <v>-</v>
      </c>
      <c r="G142" s="44" t="str">
        <f>IF(COUNTIFS(Table16[ประเภท],G135,Table16[ฝ่าย],A142,Table16[สัปดาห์แจ้งซ่อม],"4")=0,"-",COUNTIFS(Table16[ประเภท],G135,Table16[ฝ่าย],A142,Table16[สัปดาห์แจ้งซ่อม],"4"))</f>
        <v>-</v>
      </c>
      <c r="H142" s="44" t="str">
        <f>IF(COUNTIFS(Table16[ประเภท],H135,Table16[ฝ่าย],A142,Table16[สัปดาห์แจ้งซ่อม],"4")=0,"-",COUNTIFS(Table16[ประเภท],H135,Table16[ฝ่าย],A142,Table16[สัปดาห์แจ้งซ่อม],"4"))</f>
        <v>-</v>
      </c>
      <c r="I142" s="44" t="str">
        <f>IF(COUNTIFS(Table16[ประเภท],I135,Table16[ฝ่าย],A142,Table16[สัปดาห์แจ้งซ่อม],"4")=0,"-",COUNTIFS(Table16[ประเภท],I135,Table16[ฝ่าย],A142,Table16[สัปดาห์แจ้งซ่อม],"4"))</f>
        <v>-</v>
      </c>
      <c r="J142" s="44" t="str">
        <f>IF(COUNTIFS(Table16[ประเภท],J135,Table16[ฝ่าย],A142,Table16[สัปดาห์แจ้งซ่อม],"4")=0,"-",COUNTIFS(Table16[ประเภท],J135,Table16[ฝ่าย],A142,Table16[สัปดาห์แจ้งซ่อม],"4"))</f>
        <v>-</v>
      </c>
      <c r="K142" s="44" t="str">
        <f>IF(COUNTIFS(Table16[ประเภท],K135,Table16[ฝ่าย],A142,Table16[สัปดาห์แจ้งซ่อม],"4")=0,"-",COUNTIFS(Table16[ประเภท],K135,Table16[ฝ่าย],A142,Table16[สัปดาห์แจ้งซ่อม],"4"))</f>
        <v>-</v>
      </c>
      <c r="L142" s="44" t="str">
        <f>IF(COUNTIFS(Table16[ประเภท],L135,Table16[ฝ่าย],A142,Table16[สัปดาห์แจ้งซ่อม],"4")=0,"-",COUNTIFS(Table16[ประเภท],L135,Table16[ฝ่าย],A142,Table16[สัปดาห์แจ้งซ่อม],"4"))</f>
        <v>-</v>
      </c>
      <c r="M142" s="44" t="str">
        <f>IF(COUNTIFS(Table16[ประเภท],M135,Table16[ฝ่าย],A142,Table16[สัปดาห์แจ้งซ่อม],"4")=0,"-",COUNTIFS(Table16[ประเภท],M135,Table16[ฝ่าย],A142,Table16[สัปดาห์แจ้งซ่อม],"4"))</f>
        <v>-</v>
      </c>
      <c r="N142" s="44" t="str">
        <f>IF(COUNTIFS(Table16[ประเภท],N135,Table16[ฝ่าย],A142,Table16[สัปดาห์แจ้งซ่อม],"4")=0,"-",COUNTIFS(Table16[ประเภท],N135,Table16[ฝ่าย],A142,Table16[สัปดาห์แจ้งซ่อม],"4"))</f>
        <v>-</v>
      </c>
      <c r="O142" s="162"/>
      <c r="P142" s="190" t="str">
        <f>IF(COUNTIFS(Table16[ประเภท],P135,Table16[ฝ่าย],A142,Table16[สัปดาห์แจ้งซ่อม],"4")=0,"-",COUNTIFS(Table16[ประเภท],P135,Table16[ฝ่าย],A142,Table16[สัปดาห์แจ้งซ่อม],"4"))</f>
        <v>-</v>
      </c>
    </row>
    <row r="143" spans="1:16" ht="15" thickBot="1">
      <c r="A143" s="47" t="s">
        <v>61</v>
      </c>
      <c r="B143" s="48">
        <f>COUNTIFS(Table16[ฝ่าย],A143,Table16[สัปดาห์แจ้งซ่อม],4)</f>
        <v>1</v>
      </c>
      <c r="C143" s="49">
        <f>B143/B150</f>
        <v>0.14285714285714285</v>
      </c>
      <c r="D143" s="44" t="str">
        <f>IF(COUNTIFS(Table16[ประเภท],D135,Table16[ฝ่าย],A143,Table16[สัปดาห์แจ้งซ่อม],"4")=0,"-",COUNTIFS(Table16[ประเภท],D135,Table16[ฝ่าย],A143,Table16[สัปดาห์แจ้งซ่อม],"4"))</f>
        <v>-</v>
      </c>
      <c r="E143" s="44" t="str">
        <f>IF(COUNTIFS(Table16[ประเภท],E135,Table16[ฝ่าย],A143,Table16[สัปดาห์แจ้งซ่อม],"4")=0,"-",COUNTIFS(Table16[ประเภท],E135,Table16[ฝ่าย],A143,Table16[สัปดาห์แจ้งซ่อม],"4"))</f>
        <v>-</v>
      </c>
      <c r="F143" s="44" t="str">
        <f>IF(COUNTIFS(Table16[ประเภท],F135,Table16[ฝ่าย],A143,Table16[สัปดาห์แจ้งซ่อม],"4")=0,"-",COUNTIFS(Table16[ประเภท],F135,Table16[ฝ่าย],A143,Table16[สัปดาห์แจ้งซ่อม],"4"))</f>
        <v>-</v>
      </c>
      <c r="G143" s="44" t="str">
        <f>IF(COUNTIFS(Table16[ประเภท],G135,Table16[ฝ่าย],A143,Table16[สัปดาห์แจ้งซ่อม],"4")=0,"-",COUNTIFS(Table16[ประเภท],G135,Table16[ฝ่าย],A143,Table16[สัปดาห์แจ้งซ่อม],"4"))</f>
        <v>-</v>
      </c>
      <c r="H143" s="44" t="str">
        <f>IF(COUNTIFS(Table16[ประเภท],H135,Table16[ฝ่าย],A143,Table16[สัปดาห์แจ้งซ่อม],"4")=0,"-",COUNTIFS(Table16[ประเภท],H135,Table16[ฝ่าย],A143,Table16[สัปดาห์แจ้งซ่อม],"4"))</f>
        <v>-</v>
      </c>
      <c r="I143" s="44">
        <f>IF(COUNTIFS(Table16[ประเภท],I135,Table16[ฝ่าย],A143,Table16[สัปดาห์แจ้งซ่อม],"4")=0,"-",COUNTIFS(Table16[ประเภท],I135,Table16[ฝ่าย],A143,Table16[สัปดาห์แจ้งซ่อม],"4"))</f>
        <v>1</v>
      </c>
      <c r="J143" s="44" t="str">
        <f>IF(COUNTIFS(Table16[ประเภท],J135,Table16[ฝ่าย],A143,Table16[สัปดาห์แจ้งซ่อม],"4")=0,"-",COUNTIFS(Table16[ประเภท],J135,Table16[ฝ่าย],A143,Table16[สัปดาห์แจ้งซ่อม],"4"))</f>
        <v>-</v>
      </c>
      <c r="K143" s="44" t="str">
        <f>IF(COUNTIFS(Table16[ประเภท],K135,Table16[ฝ่าย],A143,Table16[สัปดาห์แจ้งซ่อม],"4")=0,"-",COUNTIFS(Table16[ประเภท],K135,Table16[ฝ่าย],A143,Table16[สัปดาห์แจ้งซ่อม],"4"))</f>
        <v>-</v>
      </c>
      <c r="L143" s="44" t="str">
        <f>IF(COUNTIFS(Table16[ประเภท],L135,Table16[ฝ่าย],A143,Table16[สัปดาห์แจ้งซ่อม],"4")=0,"-",COUNTIFS(Table16[ประเภท],L135,Table16[ฝ่าย],A143,Table16[สัปดาห์แจ้งซ่อม],"4"))</f>
        <v>-</v>
      </c>
      <c r="M143" s="44" t="str">
        <f>IF(COUNTIFS(Table16[ประเภท],M135,Table16[ฝ่าย],A143,Table16[สัปดาห์แจ้งซ่อม],"4")=0,"-",COUNTIFS(Table16[ประเภท],M135,Table16[ฝ่าย],A143,Table16[สัปดาห์แจ้งซ่อม],"4"))</f>
        <v>-</v>
      </c>
      <c r="N143" s="44" t="str">
        <f>IF(COUNTIFS(Table16[ประเภท],N135,Table16[ฝ่าย],A143,Table16[สัปดาห์แจ้งซ่อม],"4")=0,"-",COUNTIFS(Table16[ประเภท],N135,Table16[ฝ่าย],A143,Table16[สัปดาห์แจ้งซ่อม],"4"))</f>
        <v>-</v>
      </c>
      <c r="O143" s="162"/>
      <c r="P143" s="190" t="str">
        <f>IF(COUNTIFS(Table16[ประเภท],P135,Table16[ฝ่าย],A143,Table16[สัปดาห์แจ้งซ่อม],"4")=0,"-",COUNTIFS(Table16[ประเภท],P135,Table16[ฝ่าย],A143,Table16[สัปดาห์แจ้งซ่อม],"4"))</f>
        <v>-</v>
      </c>
    </row>
    <row r="144" spans="1:16" ht="15" thickBot="1">
      <c r="A144" s="47" t="s">
        <v>62</v>
      </c>
      <c r="B144" s="48">
        <f>COUNTIFS(Table16[ฝ่าย],A144,Table16[สัปดาห์แจ้งซ่อม],4)</f>
        <v>0</v>
      </c>
      <c r="C144" s="49">
        <f>B144/B150</f>
        <v>0</v>
      </c>
      <c r="D144" s="44" t="str">
        <f>IF(COUNTIFS(Table16[ประเภท],D135,Table16[ฝ่าย],A144,Table16[สัปดาห์แจ้งซ่อม],"4")=0,"-",COUNTIFS(Table16[ประเภท],D135,Table16[ฝ่าย],A144,Table16[สัปดาห์แจ้งซ่อม],"4"))</f>
        <v>-</v>
      </c>
      <c r="E144" s="44" t="str">
        <f>IF(COUNTIFS(Table16[ประเภท],E135,Table16[ฝ่าย],A144,Table16[สัปดาห์แจ้งซ่อม],"4")=0,"-",COUNTIFS(Table16[ประเภท],E135,Table16[ฝ่าย],A144,Table16[สัปดาห์แจ้งซ่อม],"4"))</f>
        <v>-</v>
      </c>
      <c r="F144" s="44" t="str">
        <f>IF(COUNTIFS(Table16[ประเภท],F135,Table16[ฝ่าย],A144,Table16[สัปดาห์แจ้งซ่อม],"4")=0,"-",COUNTIFS(Table16[ประเภท],F135,Table16[ฝ่าย],A144,Table16[สัปดาห์แจ้งซ่อม],"4"))</f>
        <v>-</v>
      </c>
      <c r="G144" s="44" t="str">
        <f>IF(COUNTIFS(Table16[ประเภท],G135,Table16[ฝ่าย],A144,Table16[สัปดาห์แจ้งซ่อม],"4")=0,"-",COUNTIFS(Table16[ประเภท],G135,Table16[ฝ่าย],A144,Table16[สัปดาห์แจ้งซ่อม],"4"))</f>
        <v>-</v>
      </c>
      <c r="H144" s="44" t="str">
        <f>IF(COUNTIFS(Table16[ประเภท],H135,Table16[ฝ่าย],A144,Table16[สัปดาห์แจ้งซ่อม],"4")=0,"-",COUNTIFS(Table16[ประเภท],H135,Table16[ฝ่าย],A144,Table16[สัปดาห์แจ้งซ่อม],"4"))</f>
        <v>-</v>
      </c>
      <c r="I144" s="44" t="str">
        <f>IF(COUNTIFS(Table16[ประเภท],I135,Table16[ฝ่าย],A144,Table16[สัปดาห์แจ้งซ่อม],"4")=0,"-",COUNTIFS(Table16[ประเภท],I135,Table16[ฝ่าย],A144,Table16[สัปดาห์แจ้งซ่อม],"4"))</f>
        <v>-</v>
      </c>
      <c r="J144" s="44" t="str">
        <f>IF(COUNTIFS(Table16[ประเภท],J135,Table16[ฝ่าย],A144,Table16[สัปดาห์แจ้งซ่อม],"4")=0,"-",COUNTIFS(Table16[ประเภท],J135,Table16[ฝ่าย],A144,Table16[สัปดาห์แจ้งซ่อม],"4"))</f>
        <v>-</v>
      </c>
      <c r="K144" s="44" t="str">
        <f>IF(COUNTIFS(Table16[ประเภท],K135,Table16[ฝ่าย],A144,Table16[สัปดาห์แจ้งซ่อม],"4")=0,"-",COUNTIFS(Table16[ประเภท],K135,Table16[ฝ่าย],A144,Table16[สัปดาห์แจ้งซ่อม],"4"))</f>
        <v>-</v>
      </c>
      <c r="L144" s="44" t="str">
        <f>IF(COUNTIFS(Table16[ประเภท],L135,Table16[ฝ่าย],A144,Table16[สัปดาห์แจ้งซ่อม],"4")=0,"-",COUNTIFS(Table16[ประเภท],L135,Table16[ฝ่าย],A144,Table16[สัปดาห์แจ้งซ่อม],"4"))</f>
        <v>-</v>
      </c>
      <c r="M144" s="44" t="str">
        <f>IF(COUNTIFS(Table16[ประเภท],M135,Table16[ฝ่าย],A144,Table16[สัปดาห์แจ้งซ่อม],"4")=0,"-",COUNTIFS(Table16[ประเภท],M135,Table16[ฝ่าย],A144,Table16[สัปดาห์แจ้งซ่อม],"4"))</f>
        <v>-</v>
      </c>
      <c r="N144" s="44" t="str">
        <f>IF(COUNTIFS(Table16[ประเภท],N135,Table16[ฝ่าย],A144,Table16[สัปดาห์แจ้งซ่อม],"4")=0,"-",COUNTIFS(Table16[ประเภท],N135,Table16[ฝ่าย],A144,Table16[สัปดาห์แจ้งซ่อม],"4"))</f>
        <v>-</v>
      </c>
      <c r="O144" s="162"/>
      <c r="P144" s="190" t="str">
        <f>IF(COUNTIFS(Table16[ประเภท],P135,Table16[ฝ่าย],A144,Table16[สัปดาห์แจ้งซ่อม],"4")=0,"-",COUNTIFS(Table16[ประเภท],P135,Table16[ฝ่าย],A144,Table16[สัปดาห์แจ้งซ่อม],"4"))</f>
        <v>-</v>
      </c>
    </row>
    <row r="145" spans="1:16" ht="15" thickBot="1">
      <c r="A145" s="47" t="s">
        <v>63</v>
      </c>
      <c r="B145" s="48">
        <f>COUNTIFS(Table16[ฝ่าย],A145,Table16[สัปดาห์แจ้งซ่อม],4)</f>
        <v>0</v>
      </c>
      <c r="C145" s="50">
        <f>B145/B150</f>
        <v>0</v>
      </c>
      <c r="D145" s="44" t="str">
        <f>IF(COUNTIFS(Table16[ประเภท],D135,Table16[ฝ่าย],A145,Table16[สัปดาห์แจ้งซ่อม],"4")=0,"-",COUNTIFS(Table16[ประเภท],D135,Table16[ฝ่าย],A145,Table16[สัปดาห์แจ้งซ่อม],"4"))</f>
        <v>-</v>
      </c>
      <c r="E145" s="44" t="str">
        <f>IF(COUNTIFS(Table16[ประเภท],E135,Table16[ฝ่าย],A145,Table16[สัปดาห์แจ้งซ่อม],"4")=0,"-",COUNTIFS(Table16[ประเภท],E135,Table16[ฝ่าย],A145,Table16[สัปดาห์แจ้งซ่อม],"4"))</f>
        <v>-</v>
      </c>
      <c r="F145" s="44" t="str">
        <f>IF(COUNTIFS(Table16[ประเภท],F135,Table16[ฝ่าย],A145,Table16[สัปดาห์แจ้งซ่อม],"4")=0,"-",COUNTIFS(Table16[ประเภท],F135,Table16[ฝ่าย],A145,Table16[สัปดาห์แจ้งซ่อม],"4"))</f>
        <v>-</v>
      </c>
      <c r="G145" s="44" t="str">
        <f>IF(COUNTIFS(Table16[ประเภท],G135,Table16[ฝ่าย],A145,Table16[สัปดาห์แจ้งซ่อม],"4")=0,"-",COUNTIFS(Table16[ประเภท],G135,Table16[ฝ่าย],A145,Table16[สัปดาห์แจ้งซ่อม],"4"))</f>
        <v>-</v>
      </c>
      <c r="H145" s="44" t="str">
        <f>IF(COUNTIFS(Table16[ประเภท],H135,Table16[ฝ่าย],A145,Table16[สัปดาห์แจ้งซ่อม],"4")=0,"-",COUNTIFS(Table16[ประเภท],H135,Table16[ฝ่าย],A145,Table16[สัปดาห์แจ้งซ่อม],"4"))</f>
        <v>-</v>
      </c>
      <c r="I145" s="44" t="str">
        <f>IF(COUNTIFS(Table16[ประเภท],I135,Table16[ฝ่าย],A145,Table16[สัปดาห์แจ้งซ่อม],"4")=0,"-",COUNTIFS(Table16[ประเภท],I135,Table16[ฝ่าย],A145,Table16[สัปดาห์แจ้งซ่อม],"4"))</f>
        <v>-</v>
      </c>
      <c r="J145" s="44" t="str">
        <f>IF(COUNTIFS(Table16[ประเภท],J135,Table16[ฝ่าย],A145,Table16[สัปดาห์แจ้งซ่อม],"4")=0,"-",COUNTIFS(Table16[ประเภท],J135,Table16[ฝ่าย],A145,Table16[สัปดาห์แจ้งซ่อม],"4"))</f>
        <v>-</v>
      </c>
      <c r="K145" s="44" t="str">
        <f>IF(COUNTIFS(Table16[ประเภท],K135,Table16[ฝ่าย],A145,Table16[สัปดาห์แจ้งซ่อม],"4")=0,"-",COUNTIFS(Table16[ประเภท],K135,Table16[ฝ่าย],A145,Table16[สัปดาห์แจ้งซ่อม],"4"))</f>
        <v>-</v>
      </c>
      <c r="L145" s="44" t="str">
        <f>IF(COUNTIFS(Table16[ประเภท],L135,Table16[ฝ่าย],A145,Table16[สัปดาห์แจ้งซ่อม],"4")=0,"-",COUNTIFS(Table16[ประเภท],L135,Table16[ฝ่าย],A145,Table16[สัปดาห์แจ้งซ่อม],"4"))</f>
        <v>-</v>
      </c>
      <c r="M145" s="44" t="str">
        <f>IF(COUNTIFS(Table16[ประเภท],M135,Table16[ฝ่าย],A145,Table16[สัปดาห์แจ้งซ่อม],"4")=0,"-",COUNTIFS(Table16[ประเภท],M135,Table16[ฝ่าย],A145,Table16[สัปดาห์แจ้งซ่อม],"4"))</f>
        <v>-</v>
      </c>
      <c r="N145" s="44" t="str">
        <f>IF(COUNTIFS(Table16[ประเภท],N135,Table16[ฝ่าย],A145,Table16[สัปดาห์แจ้งซ่อม],"4")=0,"-",COUNTIFS(Table16[ประเภท],N135,Table16[ฝ่าย],A145,Table16[สัปดาห์แจ้งซ่อม],"4"))</f>
        <v>-</v>
      </c>
      <c r="O145" s="162"/>
      <c r="P145" s="190" t="str">
        <f>IF(COUNTIFS(Table16[ประเภท],P135,Table16[ฝ่าย],A145,Table16[สัปดาห์แจ้งซ่อม],"4")=0,"-",COUNTIFS(Table16[ประเภท],P135,Table16[ฝ่าย],A145,Table16[สัปดาห์แจ้งซ่อม],"4"))</f>
        <v>-</v>
      </c>
    </row>
    <row r="146" spans="1:16" ht="15" thickBot="1">
      <c r="A146" s="47" t="s">
        <v>64</v>
      </c>
      <c r="B146" s="48">
        <f>COUNTIFS(Table16[ฝ่าย],A146,Table16[สัปดาห์แจ้งซ่อม],4)</f>
        <v>0</v>
      </c>
      <c r="C146" s="50">
        <f>B146/B150</f>
        <v>0</v>
      </c>
      <c r="D146" s="44" t="str">
        <f>IF(COUNTIFS(Table16[ประเภท],D135,Table16[ฝ่าย],A146,Table16[สัปดาห์แจ้งซ่อม],"4")=0,"-",COUNTIFS(Table16[ประเภท],D135,Table16[ฝ่าย],A146,Table16[สัปดาห์แจ้งซ่อม],"4"))</f>
        <v>-</v>
      </c>
      <c r="E146" s="44" t="str">
        <f>IF(COUNTIFS(Table16[ประเภท],E135,Table16[ฝ่าย],A146,Table16[สัปดาห์แจ้งซ่อม],"4")=0,"-",COUNTIFS(Table16[ประเภท],E135,Table16[ฝ่าย],A146,Table16[สัปดาห์แจ้งซ่อม],"4"))</f>
        <v>-</v>
      </c>
      <c r="F146" s="44" t="str">
        <f>IF(COUNTIFS(Table16[ประเภท],F135,Table16[ฝ่าย],A146,Table16[สัปดาห์แจ้งซ่อม],"4")=0,"-",COUNTIFS(Table16[ประเภท],F135,Table16[ฝ่าย],A146,Table16[สัปดาห์แจ้งซ่อม],"4"))</f>
        <v>-</v>
      </c>
      <c r="G146" s="44" t="str">
        <f>IF(COUNTIFS(Table16[ประเภท],G135,Table16[ฝ่าย],A146,Table16[สัปดาห์แจ้งซ่อม],"4")=0,"-",COUNTIFS(Table16[ประเภท],G135,Table16[ฝ่าย],A146,Table16[สัปดาห์แจ้งซ่อม],"4"))</f>
        <v>-</v>
      </c>
      <c r="H146" s="44" t="str">
        <f>IF(COUNTIFS(Table16[ประเภท],H135,Table16[ฝ่าย],A146,Table16[สัปดาห์แจ้งซ่อม],"4")=0,"-",COUNTIFS(Table16[ประเภท],H135,Table16[ฝ่าย],A146,Table16[สัปดาห์แจ้งซ่อม],"4"))</f>
        <v>-</v>
      </c>
      <c r="I146" s="44" t="str">
        <f>IF(COUNTIFS(Table16[ประเภท],I135,Table16[ฝ่าย],A146,Table16[สัปดาห์แจ้งซ่อม],"4")=0,"-",COUNTIFS(Table16[ประเภท],I135,Table16[ฝ่าย],A146,Table16[สัปดาห์แจ้งซ่อม],"4"))</f>
        <v>-</v>
      </c>
      <c r="J146" s="44" t="str">
        <f>IF(COUNTIFS(Table16[ประเภท],J135,Table16[ฝ่าย],A146,Table16[สัปดาห์แจ้งซ่อม],"4")=0,"-",COUNTIFS(Table16[ประเภท],J135,Table16[ฝ่าย],A146,Table16[สัปดาห์แจ้งซ่อม],"4"))</f>
        <v>-</v>
      </c>
      <c r="K146" s="44" t="str">
        <f>IF(COUNTIFS(Table16[ประเภท],K135,Table16[ฝ่าย],A146,Table16[สัปดาห์แจ้งซ่อม],"4")=0,"-",COUNTIFS(Table16[ประเภท],K135,Table16[ฝ่าย],A146,Table16[สัปดาห์แจ้งซ่อม],"4"))</f>
        <v>-</v>
      </c>
      <c r="L146" s="44" t="str">
        <f>IF(COUNTIFS(Table16[ประเภท],L135,Table16[ฝ่าย],A146,Table16[สัปดาห์แจ้งซ่อม],"4")=0,"-",COUNTIFS(Table16[ประเภท],L135,Table16[ฝ่าย],A146,Table16[สัปดาห์แจ้งซ่อม],"4"))</f>
        <v>-</v>
      </c>
      <c r="M146" s="44" t="str">
        <f>IF(COUNTIFS(Table16[ประเภท],M135,Table16[ฝ่าย],A146,Table16[สัปดาห์แจ้งซ่อม],"4")=0,"-",COUNTIFS(Table16[ประเภท],M135,Table16[ฝ่าย],A146,Table16[สัปดาห์แจ้งซ่อม],"4"))</f>
        <v>-</v>
      </c>
      <c r="N146" s="44" t="str">
        <f>IF(COUNTIFS(Table16[ประเภท],N135,Table16[ฝ่าย],A146,Table16[สัปดาห์แจ้งซ่อม],"4")=0,"-",COUNTIFS(Table16[ประเภท],N135,Table16[ฝ่าย],A146,Table16[สัปดาห์แจ้งซ่อม],"4"))</f>
        <v>-</v>
      </c>
      <c r="O146" s="162"/>
      <c r="P146" s="190" t="str">
        <f>IF(COUNTIFS(Table16[ประเภท],P135,Table16[ฝ่าย],A146,Table16[สัปดาห์แจ้งซ่อม],"4")=0,"-",COUNTIFS(Table16[ประเภท],P135,Table16[ฝ่าย],A146,Table16[สัปดาห์แจ้งซ่อม],"4"))</f>
        <v>-</v>
      </c>
    </row>
    <row r="147" spans="1:16" ht="15" thickBot="1">
      <c r="A147" s="47" t="s">
        <v>65</v>
      </c>
      <c r="B147" s="48">
        <f>COUNTIFS(Table16[ฝ่าย],A147,Table16[สัปดาห์แจ้งซ่อม],4)</f>
        <v>0</v>
      </c>
      <c r="C147" s="50">
        <f>B147/B150</f>
        <v>0</v>
      </c>
      <c r="D147" s="44" t="str">
        <f>IF(COUNTIFS(Table16[ประเภท],D135,Table16[ฝ่าย],A147,Table16[สัปดาห์แจ้งซ่อม],"4")=0,"-",COUNTIFS(Table16[ประเภท],D135,Table16[ฝ่าย],A147,Table16[สัปดาห์แจ้งซ่อม],"4"))</f>
        <v>-</v>
      </c>
      <c r="E147" s="44" t="str">
        <f>IF(COUNTIFS(Table16[ประเภท],E135,Table16[ฝ่าย],A147,Table16[สัปดาห์แจ้งซ่อม],"4")=0,"-",COUNTIFS(Table16[ประเภท],E135,Table16[ฝ่าย],A147,Table16[สัปดาห์แจ้งซ่อม],"4"))</f>
        <v>-</v>
      </c>
      <c r="F147" s="44" t="str">
        <f>IF(COUNTIFS(Table16[ประเภท],F135,Table16[ฝ่าย],A147,Table16[สัปดาห์แจ้งซ่อม],"4")=0,"-",COUNTIFS(Table16[ประเภท],F135,Table16[ฝ่าย],A147,Table16[สัปดาห์แจ้งซ่อม],"4"))</f>
        <v>-</v>
      </c>
      <c r="G147" s="44" t="str">
        <f>IF(COUNTIFS(Table16[ประเภท],G135,Table16[ฝ่าย],A147,Table16[สัปดาห์แจ้งซ่อม],"4")=0,"-",COUNTIFS(Table16[ประเภท],G135,Table16[ฝ่าย],A147,Table16[สัปดาห์แจ้งซ่อม],"4"))</f>
        <v>-</v>
      </c>
      <c r="H147" s="44" t="str">
        <f>IF(COUNTIFS(Table16[ประเภท],H135,Table16[ฝ่าย],A147,Table16[สัปดาห์แจ้งซ่อม],"4")=0,"-",COUNTIFS(Table16[ประเภท],H135,Table16[ฝ่าย],A147,Table16[สัปดาห์แจ้งซ่อม],"4"))</f>
        <v>-</v>
      </c>
      <c r="I147" s="44" t="str">
        <f>IF(COUNTIFS(Table16[ประเภท],I135,Table16[ฝ่าย],A147,Table16[สัปดาห์แจ้งซ่อม],"4")=0,"-",COUNTIFS(Table16[ประเภท],I135,Table16[ฝ่าย],A147,Table16[สัปดาห์แจ้งซ่อม],"4"))</f>
        <v>-</v>
      </c>
      <c r="J147" s="44" t="str">
        <f>IF(COUNTIFS(Table16[ประเภท],J135,Table16[ฝ่าย],A147,Table16[สัปดาห์แจ้งซ่อม],"4")=0,"-",COUNTIFS(Table16[ประเภท],J135,Table16[ฝ่าย],A147,Table16[สัปดาห์แจ้งซ่อม],"4"))</f>
        <v>-</v>
      </c>
      <c r="K147" s="44" t="str">
        <f>IF(COUNTIFS(Table16[ประเภท],K135,Table16[ฝ่าย],A147,Table16[สัปดาห์แจ้งซ่อม],"4")=0,"-",COUNTIFS(Table16[ประเภท],K135,Table16[ฝ่าย],A147,Table16[สัปดาห์แจ้งซ่อม],"4"))</f>
        <v>-</v>
      </c>
      <c r="L147" s="44" t="str">
        <f>IF(COUNTIFS(Table16[ประเภท],L135,Table16[ฝ่าย],A147,Table16[สัปดาห์แจ้งซ่อม],"4")=0,"-",COUNTIFS(Table16[ประเภท],L135,Table16[ฝ่าย],A147,Table16[สัปดาห์แจ้งซ่อม],"4"))</f>
        <v>-</v>
      </c>
      <c r="M147" s="44" t="str">
        <f>IF(COUNTIFS(Table16[ประเภท],M135,Table16[ฝ่าย],A147,Table16[สัปดาห์แจ้งซ่อม],"4")=0,"-",COUNTIFS(Table16[ประเภท],M135,Table16[ฝ่าย],A147,Table16[สัปดาห์แจ้งซ่อม],"4"))</f>
        <v>-</v>
      </c>
      <c r="N147" s="44" t="str">
        <f>IF(COUNTIFS(Table16[ประเภท],N135,Table16[ฝ่าย],A147,Table16[สัปดาห์แจ้งซ่อม],"4")=0,"-",COUNTIFS(Table16[ประเภท],N135,Table16[ฝ่าย],A147,Table16[สัปดาห์แจ้งซ่อม],"4"))</f>
        <v>-</v>
      </c>
      <c r="O147" s="162"/>
      <c r="P147" s="190" t="str">
        <f>IF(COUNTIFS(Table16[ประเภท],P135,Table16[ฝ่าย],A147,Table16[สัปดาห์แจ้งซ่อม],"4")=0,"-",COUNTIFS(Table16[ประเภท],P135,Table16[ฝ่าย],A147,Table16[สัปดาห์แจ้งซ่อม],"4"))</f>
        <v>-</v>
      </c>
    </row>
    <row r="148" spans="1:16" ht="15" thickBot="1">
      <c r="A148" s="47" t="s">
        <v>66</v>
      </c>
      <c r="B148" s="48">
        <f>COUNTIFS(Table16[ฝ่าย],A148,Table16[สัปดาห์แจ้งซ่อม],4)</f>
        <v>0</v>
      </c>
      <c r="C148" s="50">
        <f>B148/B150</f>
        <v>0</v>
      </c>
      <c r="D148" s="44" t="str">
        <f>IF(COUNTIFS(Table16[ประเภท],D135,Table16[ฝ่าย],A148,Table16[สัปดาห์แจ้งซ่อม],"4")=0,"-",COUNTIFS(Table16[ประเภท],D135,Table16[ฝ่าย],A145,Table16[สัปดาห์แจ้งซ่อม],"4"))</f>
        <v>-</v>
      </c>
      <c r="E148" s="44" t="str">
        <f>IF(COUNTIFS(Table16[ประเภท],E135,Table16[ฝ่าย],A148,Table16[สัปดาห์แจ้งซ่อม],"4")=0,"-",COUNTIFS(Table16[ประเภท],E135,Table16[ฝ่าย],A145,Table16[สัปดาห์แจ้งซ่อม],"4"))</f>
        <v>-</v>
      </c>
      <c r="F148" s="44" t="str">
        <f>IF(COUNTIFS(Table16[ประเภท],F135,Table16[ฝ่าย],A148,Table16[สัปดาห์แจ้งซ่อม],"4")=0,"-",COUNTIFS(Table16[ประเภท],F135,Table16[ฝ่าย],A148,Table16[สัปดาห์แจ้งซ่อม],"4"))</f>
        <v>-</v>
      </c>
      <c r="G148" s="44" t="str">
        <f>IF(COUNTIFS(Table16[ประเภท],G135,Table16[ฝ่าย],A148,Table16[สัปดาห์แจ้งซ่อม],"4")=0,"-",COUNTIFS(Table16[ประเภท],G135,Table16[ฝ่าย],A148,Table16[สัปดาห์แจ้งซ่อม],"4"))</f>
        <v>-</v>
      </c>
      <c r="H148" s="44" t="str">
        <f>IF(COUNTIFS(Table16[ประเภท],H135,Table16[ฝ่าย],A148,Table16[สัปดาห์แจ้งซ่อม],"4")=0,"-",COUNTIFS(Table16[ประเภท],H135,Table16[ฝ่าย],A148,Table16[สัปดาห์แจ้งซ่อม],"4"))</f>
        <v>-</v>
      </c>
      <c r="I148" s="44" t="str">
        <f>IF(COUNTIFS(Table16[ประเภท],I135,Table16[ฝ่าย],A148,Table16[สัปดาห์แจ้งซ่อม],"4")=0,"-",COUNTIFS(Table16[ประเภท],I135,Table16[ฝ่าย],A148,Table16[สัปดาห์แจ้งซ่อม],"4"))</f>
        <v>-</v>
      </c>
      <c r="J148" s="44" t="str">
        <f>IF(COUNTIFS(Table16[ประเภท],J135,Table16[ฝ่าย],A148,Table16[สัปดาห์แจ้งซ่อม],"4")=0,"-",COUNTIFS(Table16[ประเภท],J135,Table16[ฝ่าย],A148,Table16[สัปดาห์แจ้งซ่อม],"4"))</f>
        <v>-</v>
      </c>
      <c r="K148" s="44" t="str">
        <f>IF(COUNTIFS(Table16[ประเภท],K135,Table16[ฝ่าย],A148,Table16[สัปดาห์แจ้งซ่อม],"4")=0,"-",COUNTIFS(Table16[ประเภท],K135,Table16[ฝ่าย],A148,Table16[สัปดาห์แจ้งซ่อม],"4"))</f>
        <v>-</v>
      </c>
      <c r="L148" s="44" t="str">
        <f>IF(COUNTIFS(Table16[ประเภท],L135,Table16[ฝ่าย],A148,Table16[สัปดาห์แจ้งซ่อม],"4")=0,"-",COUNTIFS(Table16[ประเภท],L135,Table16[ฝ่าย],A148,Table16[สัปดาห์แจ้งซ่อม],"4"))</f>
        <v>-</v>
      </c>
      <c r="M148" s="44" t="str">
        <f>IF(COUNTIFS(Table16[ประเภท],M135,Table16[ฝ่าย],A148,Table16[สัปดาห์แจ้งซ่อม],"4")=0,"-",COUNTIFS(Table16[ประเภท],M135,Table16[ฝ่าย],A148,Table16[สัปดาห์แจ้งซ่อม],"4"))</f>
        <v>-</v>
      </c>
      <c r="N148" s="44" t="str">
        <f>IF(COUNTIFS(Table16[ประเภท],N135,Table16[ฝ่าย],A148,Table16[สัปดาห์แจ้งซ่อม],"4")=0,"-",COUNTIFS(Table16[ประเภท],N135,Table16[ฝ่าย],A148,Table16[สัปดาห์แจ้งซ่อม],"4"))</f>
        <v>-</v>
      </c>
      <c r="O148" s="162"/>
      <c r="P148" s="190" t="str">
        <f>IF(COUNTIFS(Table16[ประเภท],P135,Table16[ฝ่าย],A148,Table16[สัปดาห์แจ้งซ่อม],"4")=0,"-",COUNTIFS(Table16[ประเภท],P135,Table16[ฝ่าย],A148,Table16[สัปดาห์แจ้งซ่อม],"4"))</f>
        <v>-</v>
      </c>
    </row>
    <row r="149" spans="1:16" ht="15" thickBot="1">
      <c r="A149" s="47" t="s">
        <v>120</v>
      </c>
      <c r="B149" s="48">
        <f>COUNTIFS(Table16[ฝ่าย],A149,Table16[สัปดาห์แจ้งซ่อม],4)</f>
        <v>1</v>
      </c>
      <c r="C149" s="50">
        <f>B149/B150</f>
        <v>0.14285714285714285</v>
      </c>
      <c r="D149" s="44" t="str">
        <f>IF(COUNTIFS(Table16[ประเภท],D135,Table16[ฝ่าย],A149,Table16[สัปดาห์แจ้งซ่อม],"4")=0,"-",COUNTIFS(Table16[ประเภท],D135,Table16[ฝ่าย],A149,Table16[สัปดาห์แจ้งซ่อม],"4"))</f>
        <v>-</v>
      </c>
      <c r="E149" s="44" t="str">
        <f>IF(COUNTIFS(Table16[ประเภท],E135,Table16[ฝ่าย],A149,Table16[สัปดาห์แจ้งซ่อม],"4")=0,"-",COUNTIFS(Table16[ประเภท],E135,Table16[ฝ่าย],A149,Table16[สัปดาห์แจ้งซ่อม],"4"))</f>
        <v>-</v>
      </c>
      <c r="F149" s="44" t="str">
        <f>IF(COUNTIFS(Table16[ประเภท],F135,Table16[ฝ่าย],A149,Table16[สัปดาห์แจ้งซ่อม],"4")=0,"-",COUNTIFS(Table16[ประเภท],F135,Table16[ฝ่าย],A149,Table16[สัปดาห์แจ้งซ่อม],"4"))</f>
        <v>-</v>
      </c>
      <c r="G149" s="44" t="str">
        <f>IF(COUNTIFS(Table16[ประเภท],G135,Table16[ฝ่าย],A149,Table16[สัปดาห์แจ้งซ่อม],"4")=0,"-",COUNTIFS(Table16[ประเภท],G135,Table16[ฝ่าย],A149,Table16[สัปดาห์แจ้งซ่อม],"4"))</f>
        <v>-</v>
      </c>
      <c r="H149" s="44">
        <f>IF(COUNTIFS(Table16[ประเภท],H135,Table16[ฝ่าย],A149,Table16[สัปดาห์แจ้งซ่อม],"4")=0,"-",COUNTIFS(Table16[ประเภท],H135,Table16[ฝ่าย],A149,Table16[สัปดาห์แจ้งซ่อม],"4"))</f>
        <v>1</v>
      </c>
      <c r="I149" s="44" t="str">
        <f>IF(COUNTIFS(Table16[ประเภท],I135,Table16[ฝ่าย],A149,Table16[สัปดาห์แจ้งซ่อม],"4")=0,"-",COUNTIFS(Table16[ประเภท],I135,Table16[ฝ่าย],A149,Table16[สัปดาห์แจ้งซ่อม],"4"))</f>
        <v>-</v>
      </c>
      <c r="J149" s="44" t="str">
        <f>IF(COUNTIFS(Table16[ประเภท],J135,Table16[ฝ่าย],A149,Table16[สัปดาห์แจ้งซ่อม],"4")=0,"-",COUNTIFS(Table16[ประเภท],J135,Table16[ฝ่าย],A149,Table16[สัปดาห์แจ้งซ่อม],"4"))</f>
        <v>-</v>
      </c>
      <c r="K149" s="44" t="str">
        <f>IF(COUNTIFS(Table16[ประเภท],K135,Table16[ฝ่าย],A149,Table16[สัปดาห์แจ้งซ่อม],"4")=0,"-",COUNTIFS(Table16[ประเภท],K135,Table16[ฝ่าย],A149,Table16[สัปดาห์แจ้งซ่อม],"4"))</f>
        <v>-</v>
      </c>
      <c r="L149" s="44" t="str">
        <f>IF(COUNTIFS(Table16[ประเภท],L135,Table16[ฝ่าย],A149,Table16[สัปดาห์แจ้งซ่อม],"4")=0,"-",COUNTIFS(Table16[ประเภท],L135,Table16[ฝ่าย],A149,Table16[สัปดาห์แจ้งซ่อม],"4"))</f>
        <v>-</v>
      </c>
      <c r="M149" s="44" t="str">
        <f>IF(COUNTIFS(Table16[ประเภท],M135,Table16[ฝ่าย],A149,Table16[สัปดาห์แจ้งซ่อม],"4")=0,"-",COUNTIFS(Table16[ประเภท],M135,Table16[ฝ่าย],A149,Table16[สัปดาห์แจ้งซ่อม],"4"))</f>
        <v>-</v>
      </c>
      <c r="N149" s="44" t="str">
        <f>IF(COUNTIFS(Table16[ประเภท],N135,Table16[ฝ่าย],A149,Table16[สัปดาห์แจ้งซ่อม],"4")=0,"-",COUNTIFS(Table16[ประเภท],N135,Table16[ฝ่าย],A149,Table16[สัปดาห์แจ้งซ่อม],"4"))</f>
        <v>-</v>
      </c>
      <c r="O149" s="162"/>
      <c r="P149" s="190" t="str">
        <f>IF(COUNTIFS(Table16[ประเภท],P135,Table16[ฝ่าย],A149,Table16[สัปดาห์แจ้งซ่อม],"4")=0,"-",COUNTIFS(Table16[ประเภท],P135,Table16[ฝ่าย],A149,Table16[สัปดาห์แจ้งซ่อม],"4"))</f>
        <v>-</v>
      </c>
    </row>
    <row r="150" spans="1:16" ht="15" thickBot="1">
      <c r="A150" s="51" t="s">
        <v>67</v>
      </c>
      <c r="B150" s="52">
        <f>SUM(B136:B149)</f>
        <v>7</v>
      </c>
      <c r="C150" s="53">
        <f t="shared" ref="C150" si="9">SUM(C136:C148)</f>
        <v>0.85714285714285721</v>
      </c>
      <c r="D150" s="52">
        <f>SUM(D136:D149)</f>
        <v>0</v>
      </c>
      <c r="E150" s="52">
        <f t="shared" ref="E150:P150" si="10">SUM(E136:E149)</f>
        <v>0</v>
      </c>
      <c r="F150" s="52">
        <f t="shared" si="10"/>
        <v>0</v>
      </c>
      <c r="G150" s="52">
        <f t="shared" si="10"/>
        <v>1</v>
      </c>
      <c r="H150" s="52">
        <f t="shared" si="10"/>
        <v>1</v>
      </c>
      <c r="I150" s="52">
        <f t="shared" si="10"/>
        <v>1</v>
      </c>
      <c r="J150" s="52">
        <f t="shared" si="10"/>
        <v>1</v>
      </c>
      <c r="K150" s="52">
        <f t="shared" si="10"/>
        <v>0</v>
      </c>
      <c r="L150" s="52">
        <f t="shared" si="10"/>
        <v>1</v>
      </c>
      <c r="M150" s="52">
        <f t="shared" si="10"/>
        <v>1</v>
      </c>
      <c r="N150" s="52">
        <f t="shared" si="10"/>
        <v>1</v>
      </c>
      <c r="O150" s="163">
        <f t="shared" si="10"/>
        <v>0</v>
      </c>
      <c r="P150" s="163">
        <f t="shared" si="10"/>
        <v>0</v>
      </c>
    </row>
    <row r="151" spans="1:16" ht="15" thickBot="1">
      <c r="A151" s="54" t="s">
        <v>68</v>
      </c>
      <c r="B151" s="55">
        <f>COUNTIFS(Table16[สถานะ],"เรียบร้อย",Table16[สัปดาห์แจ้งซ่อม],4)</f>
        <v>5</v>
      </c>
      <c r="C151" s="56"/>
      <c r="D151" s="2"/>
      <c r="E151" s="2"/>
      <c r="F151" s="2"/>
      <c r="G151" s="2"/>
      <c r="H151" s="2"/>
      <c r="I151" s="2"/>
      <c r="J151" s="2"/>
      <c r="K151" s="2"/>
      <c r="L151" s="2"/>
    </row>
    <row r="152" spans="1:16" ht="15" thickBot="1">
      <c r="A152" s="57" t="s">
        <v>69</v>
      </c>
      <c r="B152" s="58">
        <f>COUNTIFS(Table16[สถานะ],"กำลังดำเนินการ",Table16[สัปดาห์แจ้งซ่อม],4)</f>
        <v>0</v>
      </c>
      <c r="C152" s="56"/>
      <c r="D152" s="2"/>
      <c r="E152" s="2"/>
      <c r="F152" s="2"/>
      <c r="G152" s="2"/>
      <c r="H152" s="2"/>
      <c r="I152" s="2"/>
      <c r="J152" s="2"/>
      <c r="K152" s="2"/>
      <c r="L152" s="2"/>
    </row>
    <row r="153" spans="1:16" ht="15" thickBot="1">
      <c r="A153" s="59" t="s">
        <v>3</v>
      </c>
      <c r="B153" s="60">
        <f>COUNTIFS(Table16[สถานะ],"รอดำเนินการ",Table16[สัปดาห์แจ้งซ่อม],4)</f>
        <v>0</v>
      </c>
      <c r="C153" s="56"/>
      <c r="D153" s="2"/>
      <c r="E153" s="2"/>
      <c r="F153" s="2"/>
      <c r="G153" s="2"/>
      <c r="H153" s="2"/>
      <c r="I153" s="2"/>
      <c r="J153" s="2"/>
      <c r="K153" s="2"/>
      <c r="L153" s="2"/>
    </row>
    <row r="154" spans="1:16" ht="16.2" thickBot="1">
      <c r="A154" s="61" t="s">
        <v>70</v>
      </c>
      <c r="B154" s="62">
        <f>COUNTIFS(Table16[สถานะ],"โอนย้าย",Table16[สัปดาห์แจ้งซ่อม],4)</f>
        <v>2</v>
      </c>
    </row>
    <row r="155" spans="1:16" s="207" customFormat="1" ht="36.6" customHeight="1">
      <c r="C155" s="208"/>
    </row>
    <row r="156" spans="1:16" ht="41.4" customHeight="1" thickBot="1">
      <c r="A156" s="302" t="s">
        <v>456</v>
      </c>
      <c r="B156" s="303"/>
      <c r="C156" s="303"/>
      <c r="D156" s="303"/>
      <c r="E156" s="303"/>
      <c r="F156" s="303"/>
      <c r="G156" s="303"/>
      <c r="H156" s="303"/>
      <c r="I156" s="303"/>
      <c r="J156" s="303"/>
      <c r="K156" s="303"/>
      <c r="L156" s="303"/>
      <c r="M156" s="303"/>
      <c r="N156" s="303"/>
      <c r="O156" s="303"/>
    </row>
    <row r="157" spans="1:16" ht="18.600000000000001" thickBot="1">
      <c r="A157" s="304" t="s">
        <v>41</v>
      </c>
      <c r="B157" s="304" t="s">
        <v>42</v>
      </c>
      <c r="C157" s="306" t="s">
        <v>43</v>
      </c>
      <c r="D157" s="308" t="s">
        <v>44</v>
      </c>
      <c r="E157" s="309"/>
      <c r="F157" s="309"/>
      <c r="G157" s="309"/>
      <c r="H157" s="309"/>
      <c r="I157" s="309"/>
      <c r="J157" s="309"/>
      <c r="K157" s="309"/>
      <c r="L157" s="309"/>
      <c r="M157" s="309"/>
      <c r="N157" s="309"/>
      <c r="O157" s="309"/>
      <c r="P157" s="310"/>
    </row>
    <row r="158" spans="1:16" ht="15" thickBot="1">
      <c r="A158" s="305"/>
      <c r="B158" s="305"/>
      <c r="C158" s="307"/>
      <c r="D158" s="43" t="s">
        <v>45</v>
      </c>
      <c r="E158" s="43" t="s">
        <v>46</v>
      </c>
      <c r="F158" s="44" t="s">
        <v>47</v>
      </c>
      <c r="G158" s="44" t="s">
        <v>48</v>
      </c>
      <c r="H158" s="44" t="s">
        <v>49</v>
      </c>
      <c r="I158" s="44" t="s">
        <v>50</v>
      </c>
      <c r="J158" s="44" t="s">
        <v>51</v>
      </c>
      <c r="K158" s="44" t="s">
        <v>52</v>
      </c>
      <c r="L158" s="45" t="s">
        <v>53</v>
      </c>
      <c r="M158" s="46" t="s">
        <v>72</v>
      </c>
      <c r="N158" s="168" t="s">
        <v>376</v>
      </c>
      <c r="O158" s="187" t="s">
        <v>357</v>
      </c>
      <c r="P158" s="287"/>
    </row>
    <row r="159" spans="1:16" ht="15" thickBot="1">
      <c r="A159" s="152" t="s">
        <v>54</v>
      </c>
      <c r="B159" s="140">
        <f>COUNTIF(Table18[ฝ่าย],A159)</f>
        <v>71</v>
      </c>
      <c r="C159" s="141">
        <f>B159/B173</f>
        <v>0.83529411764705885</v>
      </c>
      <c r="D159" s="167">
        <f>IF(COUNTIFS(Table18[ประเภท],D158,Table18[ฝ่าย],A159)=0,"-",COUNTIFS(Table18[ประเภท],D158,Table18[ฝ่าย],A159))</f>
        <v>11</v>
      </c>
      <c r="E159" s="167">
        <f>IF(COUNTIFS(Table18[ประเภท],E158,Table18[ฝ่าย],A159)=0,"-",COUNTIFS(Table18[ประเภท],E158,Table18[ฝ่าย],A159))</f>
        <v>4</v>
      </c>
      <c r="F159" s="65">
        <f>IF(COUNTIFS(Table18[ประเภท],F158,Table18[ฝ่าย],A159)=0,"-",COUNTIFS(Table18[ประเภท],F158,Table18[ฝ่าย],A159))</f>
        <v>5</v>
      </c>
      <c r="G159" s="65">
        <f>IF(COUNTIFS(Table18[ประเภท],G158,Table18[ฝ่าย],A159)=0,"-",COUNTIFS(Table18[ประเภท],G158,Table18[ฝ่าย],A159))</f>
        <v>1</v>
      </c>
      <c r="H159" s="167">
        <f>IF(COUNTIFS(Table18[ประเภท],H158,Table18[ฝ่าย],A159)=0,"-",COUNTIFS(Table18[ประเภท],H158,Table18[ฝ่าย],A159))</f>
        <v>7</v>
      </c>
      <c r="I159" s="167" t="str">
        <f>IF(COUNTIFS(Table18[ประเภท],I158,Table18[ฝ่าย],A159)=0,"-",COUNTIFS(Table18[ประเภท],I158,Table18[ฝ่าย],A159))</f>
        <v>-</v>
      </c>
      <c r="J159" s="167">
        <f>IF(COUNTIFS(Table18[ประเภท],J158,Table18[ฝ่าย],A159)=0,"-",COUNTIFS(Table18[ประเภท],J158,Table18[ฝ่าย],A159))</f>
        <v>6</v>
      </c>
      <c r="K159" s="167">
        <f>IF(COUNTIFS(Table18[ประเภท],K158,Table18[ฝ่าย],A159)=0,"-",COUNTIFS(Table18[ประเภท],K158,Table18[ฝ่าย],A159))</f>
        <v>19</v>
      </c>
      <c r="L159" s="167">
        <f>IF(COUNTIFS(Table18[ประเภท],L158,Table18[ฝ่าย],A159)=0,"-",COUNTIFS(Table18[ประเภท],L158,Table18[ฝ่าย],A159))</f>
        <v>5</v>
      </c>
      <c r="M159" s="154">
        <f>IF(COUNTIFS(Table18[ประเภท],M158,Table18[ฝ่าย],A159)=0,"-",COUNTIFS(Table18[ประเภท],M158,Table18[ฝ่าย],A159))</f>
        <v>6</v>
      </c>
      <c r="N159" s="169">
        <f>IF(COUNTIFS(Table18[ประเภท],N158,Table18[ฝ่าย],A159)=0,"-",COUNTIFS(Table18[ประเภท],N158,Table18[ฝ่าย],A159))</f>
        <v>1</v>
      </c>
      <c r="O159" s="188">
        <f>IF(COUNTIFS(Table18[ประเภท],O158,Table18[ฝ่าย],A159)=0,"-",COUNTIFS(Table18[ประเภท],O158,Table18[ฝ่าย],A159))</f>
        <v>2</v>
      </c>
      <c r="P159" s="311"/>
    </row>
    <row r="160" spans="1:16" ht="15" thickBot="1">
      <c r="A160" s="47" t="s">
        <v>55</v>
      </c>
      <c r="B160" s="48">
        <f>COUNTIF(Table18[ฝ่าย],A160)</f>
        <v>0</v>
      </c>
      <c r="C160" s="50">
        <f>B160/B173</f>
        <v>0</v>
      </c>
      <c r="D160" s="167" t="str">
        <f>IF(COUNTIFS(Table18[ประเภท],D158,Table18[ฝ่าย],A160)=0,"-",COUNTIFS(Table18[ประเภท],D158,Table18[ฝ่าย],A160))</f>
        <v>-</v>
      </c>
      <c r="E160" s="167" t="str">
        <f>IF(COUNTIFS(Table18[ประเภท],E158,Table18[ฝ่าย],A160)=0,"-",COUNTIFS(Table18[ประเภท],E158,Table18[ฝ่าย],A160))</f>
        <v>-</v>
      </c>
      <c r="F160" s="167" t="str">
        <f>IF(COUNTIFS(Table18[ประเภท],F158,Table18[ฝ่าย],A160)=0,"-",COUNTIFS(Table18[ประเภท],F158,Table18[ฝ่าย],A160))</f>
        <v>-</v>
      </c>
      <c r="G160" s="167" t="str">
        <f>IF(COUNTIFS(Table18[ประเภท],G158,Table18[ฝ่าย],A160)=0,"-",COUNTIFS(Table18[ประเภท],G158,Table18[ฝ่าย],A160))</f>
        <v>-</v>
      </c>
      <c r="H160" s="167" t="str">
        <f>IF(COUNTIFS(Table18[ประเภท],H158,Table18[ฝ่าย],A160)=0,"-",COUNTIFS(Table18[ประเภท],H158,Table18[ฝ่าย],A160))</f>
        <v>-</v>
      </c>
      <c r="I160" s="167" t="str">
        <f>IF(COUNTIFS(Table18[ประเภท],I158,Table18[ฝ่าย],A160)=0,"-",COUNTIFS(Table18[ประเภท],I158,Table18[ฝ่าย],A160))</f>
        <v>-</v>
      </c>
      <c r="J160" s="167" t="str">
        <f>IF(COUNTIFS(Table18[ประเภท],J158,Table18[ฝ่าย],A160)=0,"-",COUNTIFS(Table18[ประเภท],J158,Table18[ฝ่าย],A160))</f>
        <v>-</v>
      </c>
      <c r="K160" s="167" t="str">
        <f>IF(COUNTIFS(Table18[ประเภท],K158,Table18[ฝ่าย],A160)=0,"-",COUNTIFS(Table18[ประเภท],K158,Table18[ฝ่าย],A160))</f>
        <v>-</v>
      </c>
      <c r="L160" s="167" t="str">
        <f>IF(COUNTIFS(Table18[ประเภท],L158,Table18[ฝ่าย],A160)=0,"-",COUNTIFS(Table18[ประเภท],L158,Table18[ฝ่าย],A160))</f>
        <v>-</v>
      </c>
      <c r="M160" s="154" t="str">
        <f>IF(COUNTIFS(Table18[ประเภท],M158,Table18[ฝ่าย],A160)=0,"-",COUNTIFS(Table18[ประเภท],M158,Table18[ฝ่าย],A160))</f>
        <v>-</v>
      </c>
      <c r="N160" s="169" t="str">
        <f>IF(COUNTIFS(Table18[ประเภท],N158,Table18[ฝ่าย],A160)=0,"-",COUNTIFS(Table18[ประเภท],N158,Table18[ฝ่าย],A160))</f>
        <v>-</v>
      </c>
      <c r="O160" s="188" t="str">
        <f>IF(COUNTIFS(Table18[ประเภท],O158,Table18[ฝ่าย],A160)=0,"-",COUNTIFS(Table18[ประเภท],O158,Table18[ฝ่าย],A160))</f>
        <v>-</v>
      </c>
      <c r="P160" s="311"/>
    </row>
    <row r="161" spans="1:18" ht="15" thickBot="1">
      <c r="A161" s="47" t="s">
        <v>56</v>
      </c>
      <c r="B161" s="48">
        <f>COUNTIF(Table18[ฝ่าย],A161)</f>
        <v>3</v>
      </c>
      <c r="C161" s="50">
        <f>B161/B173</f>
        <v>3.5294117647058823E-2</v>
      </c>
      <c r="D161" s="167" t="str">
        <f>IF(COUNTIFS(Table18[ประเภท],D158,Table18[ฝ่าย],A161)=0,"-",COUNTIFS(Table18[ประเภท],D158,Table18[ฝ่าย],A161))</f>
        <v>-</v>
      </c>
      <c r="E161" s="167">
        <f>IF(COUNTIFS(Table18[ประเภท],E158,Table18[ฝ่าย],A161)=0,"-",COUNTIFS(Table18[ประเภท],E158,Table18[ฝ่าย],A161))</f>
        <v>2</v>
      </c>
      <c r="F161" s="167" t="str">
        <f>IF(COUNTIFS(Table18[ประเภท],F158,Table18[ฝ่าย],A161)=0,"-",COUNTIFS(Table18[ประเภท],F158,Table18[ฝ่าย],A161))</f>
        <v>-</v>
      </c>
      <c r="G161" s="167" t="str">
        <f>IF(COUNTIFS(Table18[ประเภท],G158,Table18[ฝ่าย],A161)=0,"-",COUNTIFS(Table18[ประเภท],G158,Table18[ฝ่าย],A161))</f>
        <v>-</v>
      </c>
      <c r="H161" s="167" t="str">
        <f>IF(COUNTIFS(Table18[ประเภท],H158,Table18[ฝ่าย],A161)=0,"-",COUNTIFS(Table18[ประเภท],H158,Table18[ฝ่าย],A161))</f>
        <v>-</v>
      </c>
      <c r="I161" s="167" t="str">
        <f>IF(COUNTIFS(Table18[ประเภท],I158,Table18[ฝ่าย],A161)=0,"-",COUNTIFS(Table18[ประเภท],I158,Table18[ฝ่าย],A161))</f>
        <v>-</v>
      </c>
      <c r="J161" s="167" t="str">
        <f>IF(COUNTIFS(Table18[ประเภท],J158,Table18[ฝ่าย],A161)=0,"-",COUNTIFS(Table18[ประเภท],J158,Table18[ฝ่าย],A161))</f>
        <v>-</v>
      </c>
      <c r="K161" s="167">
        <f>IF(COUNTIFS(Table18[ประเภท],K158,Table18[ฝ่าย],A161)=0,"-",COUNTIFS(Table18[ประเภท],K158,Table18[ฝ่าย],A161))</f>
        <v>1</v>
      </c>
      <c r="L161" s="167" t="str">
        <f>IF(COUNTIFS(Table18[ประเภท],L158,Table18[ฝ่าย],A161)=0,"-",COUNTIFS(Table18[ประเภท],L158,Table18[ฝ่าย],A161))</f>
        <v>-</v>
      </c>
      <c r="M161" s="154" t="str">
        <f>IF(COUNTIFS(Table18[ประเภท],M158,Table18[ฝ่าย],A161)=0,"-",COUNTIFS(Table18[ประเภท],M158,Table18[ฝ่าย],A161))</f>
        <v>-</v>
      </c>
      <c r="N161" s="169" t="str">
        <f>IF(COUNTIFS(Table18[ประเภท],N158,Table18[ฝ่าย],A161)=0,"-",COUNTIFS(Table18[ประเภท],N158,Table18[ฝ่าย],A161))</f>
        <v>-</v>
      </c>
      <c r="O161" s="188" t="str">
        <f>IF(COUNTIFS(Table18[ประเภท],O158,Table18[ฝ่าย],A161)=0,"-",COUNTIFS(Table18[ประเภท],O158,Table18[ฝ่าย],A161))</f>
        <v>-</v>
      </c>
      <c r="P161" s="311"/>
    </row>
    <row r="162" spans="1:18" ht="15" thickBot="1">
      <c r="A162" s="47" t="s">
        <v>57</v>
      </c>
      <c r="B162" s="48">
        <f>COUNTIF(Table18[ฝ่าย],A162)</f>
        <v>0</v>
      </c>
      <c r="C162" s="144">
        <f>B162/B173</f>
        <v>0</v>
      </c>
      <c r="D162" s="167" t="str">
        <f>IF(COUNTIFS(Table18[ประเภท],D158,Table18[ฝ่าย],A162)=0,"-",COUNTIFS(Table18[ประเภท],D158,Table18[ฝ่าย],A162))</f>
        <v>-</v>
      </c>
      <c r="E162" s="167" t="str">
        <f>IF(COUNTIFS(Table18[ประเภท],E158,Table18[ฝ่าย],A162)=0,"-",COUNTIFS(Table18[ประเภท],E158,Table18[ฝ่าย],A162))</f>
        <v>-</v>
      </c>
      <c r="F162" s="167" t="str">
        <f>IF(COUNTIFS(Table18[ประเภท],F158,Table18[ฝ่าย],A162)=0,"-",COUNTIFS(Table18[ประเภท],F158,Table18[ฝ่าย],A162))</f>
        <v>-</v>
      </c>
      <c r="G162" s="167" t="str">
        <f>IF(COUNTIFS(Table18[ประเภท],G158,Table18[ฝ่าย],A162)=0,"-",COUNTIFS(Table18[ประเภท],G158,Table18[ฝ่าย],A162))</f>
        <v>-</v>
      </c>
      <c r="H162" s="167" t="str">
        <f>IF(COUNTIFS(Table18[ประเภท],H158,Table18[ฝ่าย],A162)=0,"-",COUNTIFS(Table18[ประเภท],H158,Table18[ฝ่าย],A162))</f>
        <v>-</v>
      </c>
      <c r="I162" s="167" t="str">
        <f>IF(COUNTIFS(Table18[ประเภท],I158,Table18[ฝ่าย],A162)=0,"-",COUNTIFS(Table18[ประเภท],I158,Table18[ฝ่าย],A162))</f>
        <v>-</v>
      </c>
      <c r="J162" s="167" t="str">
        <f>IF(COUNTIFS(Table18[ประเภท],J158,Table18[ฝ่าย],A162)=0,"-",COUNTIFS(Table18[ประเภท],J158,Table18[ฝ่าย],A162))</f>
        <v>-</v>
      </c>
      <c r="K162" s="167" t="str">
        <f>IF(COUNTIFS(Table18[ประเภท],K158,Table18[ฝ่าย],A162)=0,"-",COUNTIFS(Table18[ประเภท],K158,Table18[ฝ่าย],A162))</f>
        <v>-</v>
      </c>
      <c r="L162" s="167" t="str">
        <f>IF(COUNTIFS(Table18[ประเภท],L158,Table18[ฝ่าย],A162)=0,"-",COUNTIFS(Table18[ประเภท],L158,Table18[ฝ่าย],A162))</f>
        <v>-</v>
      </c>
      <c r="M162" s="154" t="str">
        <f>IF(COUNTIFS(Table18[ประเภท],M158,Table18[ฝ่าย],A162)=0,"-",COUNTIFS(Table18[ประเภท],M158,Table18[ฝ่าย],A162))</f>
        <v>-</v>
      </c>
      <c r="N162" s="169" t="str">
        <f>IF(COUNTIFS(Table18[ประเภท],N158,Table18[ฝ่าย],A162)=0,"-",COUNTIFS(Table18[ประเภท],N158,Table18[ฝ่าย],A162))</f>
        <v>-</v>
      </c>
      <c r="O162" s="188" t="str">
        <f>IF(COUNTIFS(Table18[ประเภท],O158,Table18[ฝ่าย],A162)=0,"-",COUNTIFS(Table18[ประเภท],O158,Table18[ฝ่าย],A162))</f>
        <v>-</v>
      </c>
      <c r="P162" s="311"/>
    </row>
    <row r="163" spans="1:18" ht="15" thickBot="1">
      <c r="A163" s="47" t="s">
        <v>58</v>
      </c>
      <c r="B163" s="48">
        <f>COUNTIF(Table18[ฝ่าย],A163)</f>
        <v>0</v>
      </c>
      <c r="C163" s="50">
        <f>B163/B173</f>
        <v>0</v>
      </c>
      <c r="D163" s="167" t="str">
        <f>IF(COUNTIFS(Table18[ประเภท],D158,Table18[ฝ่าย],A163)=0,"-",COUNTIFS(Table18[ประเภท],D158,Table18[ฝ่าย],A163))</f>
        <v>-</v>
      </c>
      <c r="E163" s="167" t="str">
        <f>IF(COUNTIFS(Table18[ประเภท],E158,Table18[ฝ่าย],A163)=0,"-",COUNTIFS(Table18[ประเภท],E158,Table18[ฝ่าย],A163))</f>
        <v>-</v>
      </c>
      <c r="F163" s="167" t="str">
        <f>IF(COUNTIFS(Table18[ประเภท],F158,Table18[ฝ่าย],A163)=0,"-",COUNTIFS(Table18[ประเภท],F158,Table18[ฝ่าย],A163))</f>
        <v>-</v>
      </c>
      <c r="G163" s="167" t="str">
        <f>IF(COUNTIFS(Table18[ประเภท],G158,Table18[ฝ่าย],A163)=0,"-",COUNTIFS(Table18[ประเภท],G158,Table18[ฝ่าย],A163))</f>
        <v>-</v>
      </c>
      <c r="H163" s="167" t="str">
        <f>IF(COUNTIFS(Table18[ประเภท],H158,Table18[ฝ่าย],A163)=0,"-",COUNTIFS(Table18[ประเภท],H158,Table18[ฝ่าย],A163))</f>
        <v>-</v>
      </c>
      <c r="I163" s="167" t="str">
        <f>IF(COUNTIFS(Table18[ประเภท],I158,Table18[ฝ่าย],A163)=0,"-",COUNTIFS(Table18[ประเภท],I158,Table18[ฝ่าย],A163))</f>
        <v>-</v>
      </c>
      <c r="J163" s="167" t="str">
        <f>IF(COUNTIFS(Table18[ประเภท],J158,Table18[ฝ่าย],A163)=0,"-",COUNTIFS(Table18[ประเภท],J158,Table18[ฝ่าย],A163))</f>
        <v>-</v>
      </c>
      <c r="K163" s="167" t="str">
        <f>IF(COUNTIFS(Table18[ประเภท],K158,Table18[ฝ่าย],A163)=0,"-",COUNTIFS(Table18[ประเภท],K158,Table18[ฝ่าย],A163))</f>
        <v>-</v>
      </c>
      <c r="L163" s="167" t="str">
        <f>IF(COUNTIFS(Table18[ประเภท],L158,Table18[ฝ่าย],A163)=0,"-",COUNTIFS(Table18[ประเภท],L158,Table18[ฝ่าย],A163))</f>
        <v>-</v>
      </c>
      <c r="M163" s="154" t="str">
        <f>IF(COUNTIFS(Table18[ประเภท],M158,Table18[ฝ่าย],A163)=0,"-",COUNTIFS(Table18[ประเภท],M158,Table18[ฝ่าย],A163))</f>
        <v>-</v>
      </c>
      <c r="N163" s="169" t="str">
        <f>IF(COUNTIFS(Table18[ประเภท],N158,Table18[ฝ่าย],A163)=0,"-",COUNTIFS(Table18[ประเภท],N158,Table18[ฝ่าย],A163))</f>
        <v>-</v>
      </c>
      <c r="O163" s="188" t="str">
        <f>IF(COUNTIFS(Table18[ประเภท],O158,Table18[ฝ่าย],A163)=0,"-",COUNTIFS(Table18[ประเภท],O158,Table18[ฝ่าย],A163))</f>
        <v>-</v>
      </c>
      <c r="P163" s="311"/>
      <c r="R163" s="63"/>
    </row>
    <row r="164" spans="1:18" ht="15" thickBot="1">
      <c r="A164" s="47" t="s">
        <v>59</v>
      </c>
      <c r="B164" s="48">
        <f>COUNTIF(Table18[ฝ่าย],A164)</f>
        <v>0</v>
      </c>
      <c r="C164" s="50">
        <f>B164/B173</f>
        <v>0</v>
      </c>
      <c r="D164" s="167" t="str">
        <f>IF(COUNTIFS(Table18[ประเภท],D158,Table18[ฝ่าย],A164)=0,"-",COUNTIFS(Table18[ประเภท],D158,Table18[ฝ่าย],A164))</f>
        <v>-</v>
      </c>
      <c r="E164" s="167" t="str">
        <f>IF(COUNTIFS(Table18[ประเภท],E158,Table18[ฝ่าย],A164)=0,"-",COUNTIFS(Table18[ประเภท],E158,Table18[ฝ่าย],A164))</f>
        <v>-</v>
      </c>
      <c r="F164" s="167" t="str">
        <f>IF(COUNTIFS(Table18[ประเภท],F158,Table18[ฝ่าย],A164)=0,"-",COUNTIFS(Table18[ประเภท],F158,Table18[ฝ่าย],A164))</f>
        <v>-</v>
      </c>
      <c r="G164" s="167" t="str">
        <f>IF(COUNTIFS(Table18[ประเภท],G158,Table18[ฝ่าย],A164)=0,"-",COUNTIFS(Table18[ประเภท],G158,Table18[ฝ่าย],A164))</f>
        <v>-</v>
      </c>
      <c r="H164" s="167" t="str">
        <f>IF(COUNTIFS(Table18[ประเภท],H158,Table18[ฝ่าย],A164)=0,"-",COUNTIFS(Table18[ประเภท],H158,Table18[ฝ่าย],A164))</f>
        <v>-</v>
      </c>
      <c r="I164" s="167" t="str">
        <f>IF(COUNTIFS(Table18[ประเภท],I158,Table18[ฝ่าย],A164)=0,"-",COUNTIFS(Table18[ประเภท],I158,Table18[ฝ่าย],A164))</f>
        <v>-</v>
      </c>
      <c r="J164" s="167" t="str">
        <f>IF(COUNTIFS(Table18[ประเภท],J158,Table18[ฝ่าย],A164)=0,"-",COUNTIFS(Table18[ประเภท],J158,Table18[ฝ่าย],A164))</f>
        <v>-</v>
      </c>
      <c r="K164" s="167" t="str">
        <f>IF(COUNTIFS(Table18[ประเภท],K158,Table18[ฝ่าย],A164)=0,"-",COUNTIFS(Table18[ประเภท],K158,Table18[ฝ่าย],A164))</f>
        <v>-</v>
      </c>
      <c r="L164" s="167" t="str">
        <f>IF(COUNTIFS(Table18[ประเภท],L158,Table18[ฝ่าย],A164)=0,"-",COUNTIFS(Table18[ประเภท],L158,Table18[ฝ่าย],A164))</f>
        <v>-</v>
      </c>
      <c r="M164" s="154" t="str">
        <f>IF(COUNTIFS(Table18[ประเภท],M158,Table18[ฝ่าย],A164)=0,"-",COUNTIFS(Table18[ประเภท],M158,Table18[ฝ่าย],A164))</f>
        <v>-</v>
      </c>
      <c r="N164" s="169" t="str">
        <f>IF(COUNTIFS(Table18[ประเภท],N158,Table18[ฝ่าย],A164)=0,"-",COUNTIFS(Table18[ประเภท],N158,Table18[ฝ่าย],A164))</f>
        <v>-</v>
      </c>
      <c r="O164" s="188" t="str">
        <f>IF(COUNTIFS(Table18[ประเภท],O158,Table18[ฝ่าย],A164)=0,"-",COUNTIFS(Table18[ประเภท],O158,Table18[ฝ่าย],A164))</f>
        <v>-</v>
      </c>
      <c r="P164" s="311"/>
    </row>
    <row r="165" spans="1:18" ht="15" thickBot="1">
      <c r="A165" s="47" t="s">
        <v>60</v>
      </c>
      <c r="B165" s="48">
        <f>COUNTIF(Table18[ฝ่าย],A165)</f>
        <v>0</v>
      </c>
      <c r="C165" s="50">
        <f>B165/B173</f>
        <v>0</v>
      </c>
      <c r="D165" s="167" t="str">
        <f>IF(COUNTIFS(Table18[ประเภท],D158,Table18[ฝ่าย],A165)=0,"-",COUNTIFS(Table18[ประเภท],D158,Table18[ฝ่าย],A165))</f>
        <v>-</v>
      </c>
      <c r="E165" s="167" t="str">
        <f>IF(COUNTIFS(Table18[ประเภท],E158,Table18[ฝ่าย],A165)=0,"-",COUNTIFS(Table18[ประเภท],E158,Table18[ฝ่าย],A165))</f>
        <v>-</v>
      </c>
      <c r="F165" s="167" t="str">
        <f>IF(COUNTIFS(Table18[ประเภท],F158,Table18[ฝ่าย],A165)=0,"-",COUNTIFS(Table18[ประเภท],F158,Table18[ฝ่าย],A165))</f>
        <v>-</v>
      </c>
      <c r="G165" s="167" t="str">
        <f>IF(COUNTIFS(Table18[ประเภท],G158,Table18[ฝ่าย],A165)=0,"-",COUNTIFS(Table18[ประเภท],G158,Table18[ฝ่าย],A165))</f>
        <v>-</v>
      </c>
      <c r="H165" s="167" t="str">
        <f>IF(COUNTIFS(Table18[ประเภท],H158,Table18[ฝ่าย],A165)=0,"-",COUNTIFS(Table18[ประเภท],H158,Table18[ฝ่าย],A165))</f>
        <v>-</v>
      </c>
      <c r="I165" s="167" t="str">
        <f>IF(COUNTIFS(Table18[ประเภท],I158,Table18[ฝ่าย],A165)=0,"-",COUNTIFS(Table18[ประเภท],I158,Table18[ฝ่าย],A165))</f>
        <v>-</v>
      </c>
      <c r="J165" s="167" t="str">
        <f>IF(COUNTIFS(Table18[ประเภท],J158,Table18[ฝ่าย],A165)=0,"-",COUNTIFS(Table18[ประเภท],J158,Table18[ฝ่าย],A165))</f>
        <v>-</v>
      </c>
      <c r="K165" s="167" t="str">
        <f>IF(COUNTIFS(Table18[ประเภท],K158,Table18[ฝ่าย],A165)=0,"-",COUNTIFS(Table18[ประเภท],K158,Table18[ฝ่าย],A165))</f>
        <v>-</v>
      </c>
      <c r="L165" s="167" t="str">
        <f>IF(COUNTIFS(Table18[ประเภท],L158,Table18[ฝ่าย],A165)=0,"-",COUNTIFS(Table18[ประเภท],L158,Table18[ฝ่าย],A165))</f>
        <v>-</v>
      </c>
      <c r="M165" s="154" t="str">
        <f>IF(COUNTIFS(Table18[ประเภท],M158,Table18[ฝ่าย],A165)=0,"-",COUNTIFS(Table18[ประเภท],M158,Table18[ฝ่าย],A165))</f>
        <v>-</v>
      </c>
      <c r="N165" s="169" t="str">
        <f>IF(COUNTIFS(Table18[ประเภท],N158,Table18[ฝ่าย],A165)=0,"-",COUNTIFS(Table18[ประเภท],N158,Table18[ฝ่าย],A165))</f>
        <v>-</v>
      </c>
      <c r="O165" s="188" t="str">
        <f>IF(COUNTIFS(Table18[ประเภท],O158,Table18[ฝ่าย],A165)=0,"-",COUNTIFS(Table18[ประเภท],O158,Table18[ฝ่าย],A165))</f>
        <v>-</v>
      </c>
      <c r="P165" s="311"/>
    </row>
    <row r="166" spans="1:18" ht="15" thickBot="1">
      <c r="A166" s="47" t="s">
        <v>61</v>
      </c>
      <c r="B166" s="48">
        <f>COUNTIF(Table18[ฝ่าย],A166)</f>
        <v>1</v>
      </c>
      <c r="C166" s="50">
        <f>B166/B173</f>
        <v>1.1764705882352941E-2</v>
      </c>
      <c r="D166" s="167" t="str">
        <f>IF(COUNTIFS(Table18[ประเภท],D158,Table18[ฝ่าย],A166)=0,"-",COUNTIFS(Table18[ประเภท],D158,Table18[ฝ่าย],A166))</f>
        <v>-</v>
      </c>
      <c r="E166" s="167" t="str">
        <f>IF(COUNTIFS(Table18[ประเภท],E158,Table18[ฝ่าย],A166)=0,"-",COUNTIFS(Table18[ประเภท],E158,Table18[ฝ่าย],A166))</f>
        <v>-</v>
      </c>
      <c r="F166" s="167" t="str">
        <f>IF(COUNTIFS(Table18[ประเภท],F158,Table18[ฝ่าย],A166)=0,"-",COUNTIFS(Table18[ประเภท],F158,Table18[ฝ่าย],A166))</f>
        <v>-</v>
      </c>
      <c r="G166" s="167" t="str">
        <f>IF(COUNTIFS(Table18[ประเภท],G158,Table18[ฝ่าย],A166)=0,"-",COUNTIFS(Table18[ประเภท],G158,Table18[ฝ่าย],A166))</f>
        <v>-</v>
      </c>
      <c r="H166" s="167" t="str">
        <f>IF(COUNTIFS(Table18[ประเภท],H158,Table18[ฝ่าย],A166)=0,"-",COUNTIFS(Table18[ประเภท],H158,Table18[ฝ่าย],A166))</f>
        <v>-</v>
      </c>
      <c r="I166" s="167" t="str">
        <f>IF(COUNTIFS(Table18[ประเภท],I158,Table18[ฝ่าย],A166)=0,"-",COUNTIFS(Table18[ประเภท],I158,Table18[ฝ่าย],A166))</f>
        <v>-</v>
      </c>
      <c r="J166" s="167">
        <f>IF(COUNTIFS(Table18[ประเภท],J158,Table18[ฝ่าย],A166)=0,"-",COUNTIFS(Table18[ประเภท],J158,Table18[ฝ่าย],A166))</f>
        <v>1</v>
      </c>
      <c r="K166" s="167" t="str">
        <f>IF(COUNTIFS(Table18[ประเภท],K158,Table18[ฝ่าย],A166)=0,"-",COUNTIFS(Table18[ประเภท],K158,Table18[ฝ่าย],A166))</f>
        <v>-</v>
      </c>
      <c r="L166" s="167" t="str">
        <f>IF(COUNTIFS(Table18[ประเภท],L158,Table18[ฝ่าย],A166)=0,"-",COUNTIFS(Table18[ประเภท],L158,Table18[ฝ่าย],A166))</f>
        <v>-</v>
      </c>
      <c r="M166" s="154" t="str">
        <f>IF(COUNTIFS(Table18[ประเภท],M158,Table18[ฝ่าย],A166)=0,"-",COUNTIFS(Table18[ประเภท],M158,Table18[ฝ่าย],A166))</f>
        <v>-</v>
      </c>
      <c r="N166" s="169" t="str">
        <f>IF(COUNTIFS(Table18[ประเภท],N158,Table18[ฝ่าย],A166)=0,"-",COUNTIFS(Table18[ประเภท],N158,Table18[ฝ่าย],A166))</f>
        <v>-</v>
      </c>
      <c r="O166" s="188" t="str">
        <f>IF(COUNTIFS(Table18[ประเภท],O158,Table18[ฝ่าย],A166)=0,"-",COUNTIFS(Table18[ประเภท],O158,Table18[ฝ่าย],A166))</f>
        <v>-</v>
      </c>
      <c r="P166" s="311"/>
    </row>
    <row r="167" spans="1:18" ht="15" thickBot="1">
      <c r="A167" s="47" t="s">
        <v>62</v>
      </c>
      <c r="B167" s="48">
        <f>COUNTIF(Table18[ฝ่าย],A167)</f>
        <v>0</v>
      </c>
      <c r="C167" s="50">
        <f>B167/B173</f>
        <v>0</v>
      </c>
      <c r="D167" s="167" t="str">
        <f>IF(COUNTIFS(Table18[ประเภท],D158,Table18[ฝ่าย],A167)=0,"-",COUNTIFS(Table18[ประเภท],D158,Table18[ฝ่าย],A167))</f>
        <v>-</v>
      </c>
      <c r="E167" s="167" t="str">
        <f>IF(COUNTIFS(Table18[ประเภท],E158,Table18[ฝ่าย],A167)=0,"-",COUNTIFS(Table18[ประเภท],E158,Table18[ฝ่าย],A167))</f>
        <v>-</v>
      </c>
      <c r="F167" s="167" t="str">
        <f>IF(COUNTIFS(Table18[ประเภท],F158,Table18[ฝ่าย],A167)=0,"-",COUNTIFS(Table18[ประเภท],F158,Table18[ฝ่าย],A167))</f>
        <v>-</v>
      </c>
      <c r="G167" s="167" t="str">
        <f>IF(COUNTIFS(Table18[ประเภท],G158,Table18[ฝ่าย],A167)=0,"-",COUNTIFS(Table18[ประเภท],G158,Table18[ฝ่าย],A167))</f>
        <v>-</v>
      </c>
      <c r="H167" s="167" t="str">
        <f>IF(COUNTIFS(Table18[ประเภท],H158,Table18[ฝ่าย],A167)=0,"-",COUNTIFS(Table18[ประเภท],H158,Table18[ฝ่าย],A167))</f>
        <v>-</v>
      </c>
      <c r="I167" s="167" t="str">
        <f>IF(COUNTIFS(Table18[ประเภท],I158,Table18[ฝ่าย],A167)=0,"-",COUNTIFS(Table18[ประเภท],I158,Table18[ฝ่าย],A167))</f>
        <v>-</v>
      </c>
      <c r="J167" s="167" t="str">
        <f>IF(COUNTIFS(Table18[ประเภท],J158,Table18[ฝ่าย],A167)=0,"-",COUNTIFS(Table18[ประเภท],J158,Table18[ฝ่าย],A167))</f>
        <v>-</v>
      </c>
      <c r="K167" s="167" t="str">
        <f>IF(COUNTIFS(Table18[ประเภท],K158,Table18[ฝ่าย],A167)=0,"-",COUNTIFS(Table18[ประเภท],K158,Table18[ฝ่าย],A167))</f>
        <v>-</v>
      </c>
      <c r="L167" s="167" t="str">
        <f>IF(COUNTIFS(Table18[ประเภท],L158,Table18[ฝ่าย],A167)=0,"-",COUNTIFS(Table18[ประเภท],L158,Table18[ฝ่าย],A167))</f>
        <v>-</v>
      </c>
      <c r="M167" s="154" t="str">
        <f>IF(COUNTIFS(Table18[ประเภท],M158,Table18[ฝ่าย],A167)=0,"-",COUNTIFS(Table18[ประเภท],M158,Table18[ฝ่าย],A167))</f>
        <v>-</v>
      </c>
      <c r="N167" s="169" t="str">
        <f>IF(COUNTIFS(Table18[ประเภท],N158,Table18[ฝ่าย],A167)=0,"-",COUNTIFS(Table18[ประเภท],N158,Table18[ฝ่าย],A167))</f>
        <v>-</v>
      </c>
      <c r="O167" s="188" t="str">
        <f>IF(COUNTIFS(Table18[ประเภท],O158,Table18[ฝ่าย],A167)=0,"-",COUNTIFS(Table18[ประเภท],O158,Table18[ฝ่าย],A167))</f>
        <v>-</v>
      </c>
      <c r="P167" s="311"/>
    </row>
    <row r="168" spans="1:18" ht="15" thickBot="1">
      <c r="A168" s="47" t="s">
        <v>63</v>
      </c>
      <c r="B168" s="48">
        <f>COUNTIF(Table18[ฝ่าย],A168)</f>
        <v>0</v>
      </c>
      <c r="C168" s="50">
        <f>B168/B173</f>
        <v>0</v>
      </c>
      <c r="D168" s="167" t="str">
        <f>IF(COUNTIFS(Table18[ประเภท],D158,Table18[ฝ่าย],A168)=0,"-",COUNTIFS(Table18[ประเภท],D158,Table18[ฝ่าย],A168))</f>
        <v>-</v>
      </c>
      <c r="E168" s="167" t="str">
        <f>IF(COUNTIFS(Table18[ประเภท],E158,Table18[ฝ่าย],A168)=0,"-",COUNTIFS(Table18[ประเภท],E158,Table18[ฝ่าย],A168))</f>
        <v>-</v>
      </c>
      <c r="F168" s="167" t="str">
        <f>IF(COUNTIFS(Table18[ประเภท],F158,Table18[ฝ่าย],A168)=0,"-",COUNTIFS(Table18[ประเภท],F158,Table18[ฝ่าย],A168))</f>
        <v>-</v>
      </c>
      <c r="G168" s="167" t="str">
        <f>IF(COUNTIFS(Table18[ประเภท],G158,Table18[ฝ่าย],A168)=0,"-",COUNTIFS(Table18[ประเภท],G158,Table18[ฝ่าย],A168))</f>
        <v>-</v>
      </c>
      <c r="H168" s="167" t="str">
        <f>IF(COUNTIFS(Table18[ประเภท],H158,Table18[ฝ่าย],A168)=0,"-",COUNTIFS(Table18[ประเภท],H158,Table18[ฝ่าย],A168))</f>
        <v>-</v>
      </c>
      <c r="I168" s="167" t="str">
        <f>IF(COUNTIFS(Table18[ประเภท],I158,Table18[ฝ่าย],A168)=0,"-",COUNTIFS(Table18[ประเภท],I158,Table18[ฝ่าย],A168))</f>
        <v>-</v>
      </c>
      <c r="J168" s="167" t="str">
        <f>IF(COUNTIFS(Table18[ประเภท],J158,Table18[ฝ่าย],A168)=0,"-",COUNTIFS(Table18[ประเภท],J158,Table18[ฝ่าย],A168))</f>
        <v>-</v>
      </c>
      <c r="K168" s="167" t="str">
        <f>IF(COUNTIFS(Table18[ประเภท],K158,Table18[ฝ่าย],A168)=0,"-",COUNTIFS(Table18[ประเภท],K158,Table18[ฝ่าย],A168))</f>
        <v>-</v>
      </c>
      <c r="L168" s="167" t="str">
        <f>IF(COUNTIFS(Table18[ประเภท],L158,Table18[ฝ่าย],A168)=0,"-",COUNTIFS(Table18[ประเภท],L158,Table18[ฝ่าย],A168))</f>
        <v>-</v>
      </c>
      <c r="M168" s="154" t="str">
        <f>IF(COUNTIFS(Table18[ประเภท],M158,Table18[ฝ่าย],A168)=0,"-",COUNTIFS(Table18[ประเภท],M158,Table18[ฝ่าย],A168))</f>
        <v>-</v>
      </c>
      <c r="N168" s="169" t="str">
        <f>IF(COUNTIFS(Table18[ประเภท],N158,Table18[ฝ่าย],A168)=0,"-",COUNTIFS(Table18[ประเภท],N158,Table18[ฝ่าย],A168))</f>
        <v>-</v>
      </c>
      <c r="O168" s="188" t="str">
        <f>IF(COUNTIFS(Table18[ประเภท],O158,Table18[ฝ่าย],A168)=0,"-",COUNTIFS(Table18[ประเภท],O158,Table18[ฝ่าย],A168))</f>
        <v>-</v>
      </c>
      <c r="P168" s="311"/>
    </row>
    <row r="169" spans="1:18" ht="15" thickBot="1">
      <c r="A169" s="47" t="s">
        <v>64</v>
      </c>
      <c r="B169" s="48">
        <f>COUNTIF(Table18[ฝ่าย],A169)</f>
        <v>0</v>
      </c>
      <c r="C169" s="50">
        <f>B169/B173</f>
        <v>0</v>
      </c>
      <c r="D169" s="167" t="str">
        <f>IF(COUNTIFS(Table18[ประเภท],D158,Table18[ฝ่าย],A169)=0,"-",COUNTIFS(Table18[ประเภท],D158,Table18[ฝ่าย],A169))</f>
        <v>-</v>
      </c>
      <c r="E169" s="167" t="str">
        <f>IF(COUNTIFS(Table18[ประเภท],E158,Table18[ฝ่าย],A169)=0,"-",COUNTIFS(Table18[ประเภท],E158,Table18[ฝ่าย],A169))</f>
        <v>-</v>
      </c>
      <c r="F169" s="167" t="str">
        <f>IF(COUNTIFS(Table18[ประเภท],F158,Table18[ฝ่าย],A169)=0,"-",COUNTIFS(Table18[ประเภท],F158,Table18[ฝ่าย],A169))</f>
        <v>-</v>
      </c>
      <c r="G169" s="167" t="str">
        <f>IF(COUNTIFS(Table18[ประเภท],G158,Table18[ฝ่าย],A169)=0,"-",COUNTIFS(Table18[ประเภท],G158,Table18[ฝ่าย],A169))</f>
        <v>-</v>
      </c>
      <c r="H169" s="167" t="str">
        <f>IF(COUNTIFS(Table18[ประเภท],H158,Table18[ฝ่าย],A169)=0,"-",COUNTIFS(Table18[ประเภท],H158,Table18[ฝ่าย],A169))</f>
        <v>-</v>
      </c>
      <c r="I169" s="167" t="str">
        <f>IF(COUNTIFS(Table18[ประเภท],I158,Table18[ฝ่าย],A169)=0,"-",COUNTIFS(Table18[ประเภท],I158,Table18[ฝ่าย],A169))</f>
        <v>-</v>
      </c>
      <c r="J169" s="167" t="str">
        <f>IF(COUNTIFS(Table18[ประเภท],J158,Table18[ฝ่าย],A169)=0,"-",COUNTIFS(Table18[ประเภท],J158,Table18[ฝ่าย],A169))</f>
        <v>-</v>
      </c>
      <c r="K169" s="167" t="str">
        <f>IF(COUNTIFS(Table18[ประเภท],K158,Table18[ฝ่าย],A169)=0,"-",COUNTIFS(Table18[ประเภท],K158,Table18[ฝ่าย],A169))</f>
        <v>-</v>
      </c>
      <c r="L169" s="167" t="str">
        <f>IF(COUNTIFS(Table18[ประเภท],L158,Table18[ฝ่าย],A169)=0,"-",COUNTIFS(Table18[ประเภท],L158,Table18[ฝ่าย],A169))</f>
        <v>-</v>
      </c>
      <c r="M169" s="154" t="str">
        <f>IF(COUNTIFS(Table18[ประเภท],M158,Table18[ฝ่าย],A169)=0,"-",COUNTIFS(Table18[ประเภท],M158,Table18[ฝ่าย],A169))</f>
        <v>-</v>
      </c>
      <c r="N169" s="169" t="str">
        <f>IF(COUNTIFS(Table18[ประเภท],N158,Table18[ฝ่าย],A169)=0,"-",COUNTIFS(Table18[ประเภท],N158,Table18[ฝ่าย],A169))</f>
        <v>-</v>
      </c>
      <c r="O169" s="188" t="str">
        <f>IF(COUNTIFS(Table18[ประเภท],O158,Table18[ฝ่าย],A169)=0,"-",COUNTIFS(Table18[ประเภท],O158,Table18[ฝ่าย],A169))</f>
        <v>-</v>
      </c>
      <c r="P169" s="310"/>
    </row>
    <row r="170" spans="1:18" ht="15" thickBot="1">
      <c r="A170" s="47" t="s">
        <v>65</v>
      </c>
      <c r="B170" s="48">
        <f>COUNTIF(Table18[ฝ่าย],A170)</f>
        <v>0</v>
      </c>
      <c r="C170" s="50">
        <f>B170/B173</f>
        <v>0</v>
      </c>
      <c r="D170" s="167" t="str">
        <f>IF(COUNTIFS(Table18[ประเภท],D158,Table18[ฝ่าย],A170)=0,"-",COUNTIFS(Table18[ประเภท],D158,Table18[ฝ่าย],A170))</f>
        <v>-</v>
      </c>
      <c r="E170" s="167" t="str">
        <f>IF(COUNTIFS(Table18[ประเภท],E158,Table18[ฝ่าย],A170)=0,"-",COUNTIFS(Table18[ประเภท],E158,Table18[ฝ่าย],A170))</f>
        <v>-</v>
      </c>
      <c r="F170" s="167" t="str">
        <f>IF(COUNTIFS(Table18[ประเภท],F158,Table18[ฝ่าย],A170)=0,"-",COUNTIFS(Table18[ประเภท],F158,Table18[ฝ่าย],A170))</f>
        <v>-</v>
      </c>
      <c r="G170" s="167" t="str">
        <f>IF(COUNTIFS(Table18[ประเภท],G158,Table18[ฝ่าย],A170)=0,"-",COUNTIFS(Table18[ประเภท],G158,Table18[ฝ่าย],A170))</f>
        <v>-</v>
      </c>
      <c r="H170" s="167" t="str">
        <f>IF(COUNTIFS(Table18[ประเภท],H158,Table18[ฝ่าย],A170)=0,"-",COUNTIFS(Table18[ประเภท],H158,Table18[ฝ่าย],A170))</f>
        <v>-</v>
      </c>
      <c r="I170" s="167" t="str">
        <f>IF(COUNTIFS(Table18[ประเภท],I158,Table18[ฝ่าย],A170)=0,"-",COUNTIFS(Table18[ประเภท],I158,Table18[ฝ่าย],A170))</f>
        <v>-</v>
      </c>
      <c r="J170" s="167" t="str">
        <f>IF(COUNTIFS(Table18[ประเภท],J158,Table18[ฝ่าย],A170)=0,"-",COUNTIFS(Table18[ประเภท],J158,Table18[ฝ่าย],A170))</f>
        <v>-</v>
      </c>
      <c r="K170" s="167" t="str">
        <f>IF(COUNTIFS(Table18[ประเภท],K158,Table18[ฝ่าย],A170)=0,"-",COUNTIFS(Table18[ประเภท],K158,Table18[ฝ่าย],A170))</f>
        <v>-</v>
      </c>
      <c r="L170" s="167" t="str">
        <f>IF(COUNTIFS(Table18[ประเภท],L158,Table18[ฝ่าย],A170)=0,"-",COUNTIFS(Table18[ประเภท],L158,Table18[ฝ่าย],A170))</f>
        <v>-</v>
      </c>
      <c r="M170" s="154" t="str">
        <f>IF(COUNTIFS(Table18[ประเภท],M158,Table18[ฝ่าย],A170)=0,"-",COUNTIFS(Table18[ประเภท],M158,Table18[ฝ่าย],A170))</f>
        <v>-</v>
      </c>
      <c r="N170" s="169" t="str">
        <f>IF(COUNTIFS(Table18[ประเภท],N158,Table18[ฝ่าย],A170)=0,"-",COUNTIFS(Table18[ประเภท],N158,Table18[ฝ่าย],A170))</f>
        <v>-</v>
      </c>
      <c r="O170" s="188" t="str">
        <f>IF(COUNTIFS(Table18[ประเภท],O158,Table18[ฝ่าย],A170)=0,"-",COUNTIFS(Table18[ประเภท],O158,Table18[ฝ่าย],A170))</f>
        <v>-</v>
      </c>
      <c r="P170" s="287"/>
    </row>
    <row r="171" spans="1:18" ht="15" thickBot="1">
      <c r="A171" s="47" t="s">
        <v>66</v>
      </c>
      <c r="B171" s="48">
        <f>COUNTIF(Table18[ฝ่าย],A171)</f>
        <v>0</v>
      </c>
      <c r="C171" s="50">
        <f>B171/B173</f>
        <v>0</v>
      </c>
      <c r="D171" s="167" t="str">
        <f>IF(COUNTIFS(Table18[ประเภท],D158,Table18[ฝ่าย],A171)=0,"-",COUNTIFS(Table18[ประเภท],D158,Table18[ฝ่าย],A171))</f>
        <v>-</v>
      </c>
      <c r="E171" s="167" t="str">
        <f>IF(COUNTIFS(Table18[ประเภท],E158,Table18[ฝ่าย],A171)=0,"-",COUNTIFS(Table18[ประเภท],E158,Table18[ฝ่าย],A171))</f>
        <v>-</v>
      </c>
      <c r="F171" s="167" t="str">
        <f>IF(COUNTIFS(Table18[ประเภท],F158,Table18[ฝ่าย],A171)=0,"-",COUNTIFS(Table18[ประเภท],F158,Table18[ฝ่าย],A171))</f>
        <v>-</v>
      </c>
      <c r="G171" s="167" t="str">
        <f>IF(COUNTIFS(Table18[ประเภท],G158,Table18[ฝ่าย],A171)=0,"-",COUNTIFS(Table18[ประเภท],G158,Table18[ฝ่าย],A171))</f>
        <v>-</v>
      </c>
      <c r="H171" s="167" t="str">
        <f>IF(COUNTIFS(Table18[ประเภท],H158,Table18[ฝ่าย],A171)=0,"-",COUNTIFS(Table18[ประเภท],H158,Table18[ฝ่าย],A171))</f>
        <v>-</v>
      </c>
      <c r="I171" s="167" t="str">
        <f>IF(COUNTIFS(Table18[ประเภท],I158,Table18[ฝ่าย],A171)=0,"-",COUNTIFS(Table18[ประเภท],I158,Table18[ฝ่าย],A171))</f>
        <v>-</v>
      </c>
      <c r="J171" s="167" t="str">
        <f>IF(COUNTIFS(Table18[ประเภท],J158,Table18[ฝ่าย],A171)=0,"-",COUNTIFS(Table18[ประเภท],J158,Table18[ฝ่าย],A171))</f>
        <v>-</v>
      </c>
      <c r="K171" s="167" t="str">
        <f>IF(COUNTIFS(Table18[ประเภท],K158,Table18[ฝ่าย],A171)=0,"-",COUNTIFS(Table18[ประเภท],K158,Table18[ฝ่าย],A171))</f>
        <v>-</v>
      </c>
      <c r="L171" s="167" t="str">
        <f>IF(COUNTIFS(Table18[ประเภท],L158,Table18[ฝ่าย],A171)=0,"-",COUNTIFS(Table18[ประเภท],L158,Table18[ฝ่าย],A171))</f>
        <v>-</v>
      </c>
      <c r="M171" s="154" t="str">
        <f>IF(COUNTIFS(Table18[ประเภท],M158,Table18[ฝ่าย],A171)=0,"-",COUNTIFS(Table18[ประเภท],M158,Table18[ฝ่าย],A171))</f>
        <v>-</v>
      </c>
      <c r="N171" s="169" t="str">
        <f>IF(COUNTIFS(Table18[ประเภท],N158,Table18[ฝ่าย],A171)=0,"-",COUNTIFS(Table18[ประเภท],N158,Table18[ฝ่าย],A171))</f>
        <v>-</v>
      </c>
      <c r="O171" s="188" t="str">
        <f>IF(COUNTIFS(Table18[ประเภท],O158,Table18[ฝ่าย],A171)=0,"-",COUNTIFS(Table18[ประเภท],O158,Table18[ฝ่าย],A171))</f>
        <v>-</v>
      </c>
    </row>
    <row r="172" spans="1:18" ht="15" thickBot="1">
      <c r="A172" s="193" t="s">
        <v>120</v>
      </c>
      <c r="B172" s="48">
        <f>COUNTIF(Table18[ฝ่าย],A172)</f>
        <v>10</v>
      </c>
      <c r="C172" s="50">
        <f>B172/B174</f>
        <v>0.38461538461538464</v>
      </c>
      <c r="D172" s="167" t="str">
        <f>IF(COUNTIFS(Table18[ประเภท],D158,Table18[ฝ่าย],A172)=0,"-",COUNTIFS(Table18[ประเภท],D158,Table18[ฝ่าย],A172))</f>
        <v>-</v>
      </c>
      <c r="E172" s="167" t="str">
        <f>IF(COUNTIFS(Table18[ประเภท],E158,Table18[ฝ่าย],A172)=0,"-",COUNTIFS(Table18[ประเภท],E158,Table18[ฝ่าย],A172))</f>
        <v>-</v>
      </c>
      <c r="F172" s="167" t="str">
        <f>IF(COUNTIFS(Table18[ประเภท],F158,Table18[ฝ่าย],A172)=0,"-",COUNTIFS(Table18[ประเภท],F158,Table18[ฝ่าย],A172))</f>
        <v>-</v>
      </c>
      <c r="G172" s="167" t="str">
        <f>IF(COUNTIFS(Table18[ประเภท],G158,Table18[ฝ่าย],A172)=0,"-",COUNTIFS(Table18[ประเภท],G158,Table18[ฝ่าย],A172))</f>
        <v>-</v>
      </c>
      <c r="H172" s="167">
        <f>IF(COUNTIFS(Table18[ประเภท],H158,Table18[ฝ่าย],A172)=0,"-",COUNTIFS(Table18[ประเภท],H158,Table18[ฝ่าย],A172))</f>
        <v>7</v>
      </c>
      <c r="I172" s="167" t="str">
        <f>IF(COUNTIFS(Table18[ประเภท],I158,Table18[ฝ่าย],A172)=0,"-",COUNTIFS(Table18[ประเภท],I158,Table18[ฝ่าย],A172))</f>
        <v>-</v>
      </c>
      <c r="J172" s="167" t="str">
        <f>IF(COUNTIFS(Table18[ประเภท],J158,Table18[ฝ่าย],A172)=0,"-",COUNTIFS(Table18[ประเภท],J158,Table18[ฝ่าย],A172))</f>
        <v>-</v>
      </c>
      <c r="K172" s="167" t="str">
        <f>IF(COUNTIFS(Table18[ประเภท],K158,Table18[ฝ่าย],A172)=0,"-",COUNTIFS(Table18[ประเภท],K158,Table18[ฝ่าย],A172))</f>
        <v>-</v>
      </c>
      <c r="L172" s="167" t="str">
        <f>IF(COUNTIFS(Table18[ประเภท],L158,Table18[ฝ่าย],A172)=0,"-",COUNTIFS(Table18[ประเภท],L158,Table18[ฝ่าย],A172))</f>
        <v>-</v>
      </c>
      <c r="M172" s="154" t="str">
        <f>IF(COUNTIFS(Table18[ประเภท],M158,Table18[ฝ่าย],A172)=0,"-",COUNTIFS(Table18[ประเภท],M158,Table18[ฝ่าย],A172))</f>
        <v>-</v>
      </c>
      <c r="N172" s="169" t="str">
        <f>IF(COUNTIFS(Table18[ประเภท],N158,Table18[ฝ่าย],A172)=0,"-",COUNTIFS(Table18[ประเภท],N158,Table18[ฝ่าย],A172))</f>
        <v>-</v>
      </c>
      <c r="O172" s="188" t="str">
        <f>IF(COUNTIFS(Table18[ประเภท],O158,Table18[ฝ่าย],A172)=0,"-",COUNTIFS(Table18[ประเภท],O158,Table18[ฝ่าย],A172))</f>
        <v>-</v>
      </c>
    </row>
    <row r="173" spans="1:18" ht="15" thickBot="1">
      <c r="A173" s="51" t="s">
        <v>67</v>
      </c>
      <c r="B173" s="52">
        <f>SUM(B159:B172)</f>
        <v>85</v>
      </c>
      <c r="C173" s="53">
        <f t="shared" ref="C173" si="11">SUM(C159:C171)</f>
        <v>0.88235294117647056</v>
      </c>
      <c r="D173" s="52">
        <f t="shared" ref="D173:O173" si="12">SUM(D159:D172)</f>
        <v>11</v>
      </c>
      <c r="E173" s="52">
        <f t="shared" si="12"/>
        <v>6</v>
      </c>
      <c r="F173" s="52">
        <f t="shared" si="12"/>
        <v>5</v>
      </c>
      <c r="G173" s="52">
        <f t="shared" si="12"/>
        <v>1</v>
      </c>
      <c r="H173" s="52">
        <f t="shared" si="12"/>
        <v>14</v>
      </c>
      <c r="I173" s="52">
        <f t="shared" si="12"/>
        <v>0</v>
      </c>
      <c r="J173" s="52">
        <f t="shared" si="12"/>
        <v>7</v>
      </c>
      <c r="K173" s="52">
        <f t="shared" si="12"/>
        <v>20</v>
      </c>
      <c r="L173" s="52">
        <f t="shared" si="12"/>
        <v>5</v>
      </c>
      <c r="M173" s="155">
        <f t="shared" si="12"/>
        <v>6</v>
      </c>
      <c r="N173" s="155">
        <f t="shared" si="12"/>
        <v>1</v>
      </c>
      <c r="O173" s="155">
        <f t="shared" si="12"/>
        <v>2</v>
      </c>
      <c r="R173">
        <f>SUM(D173:O173)</f>
        <v>78</v>
      </c>
    </row>
    <row r="174" spans="1:18" ht="15" thickBot="1">
      <c r="A174" s="54" t="s">
        <v>68</v>
      </c>
      <c r="B174" s="55">
        <f>COUNTIF(Table18[สถานะ],"เรียบร้อย")</f>
        <v>26</v>
      </c>
      <c r="C174" s="56"/>
      <c r="D174" s="2"/>
      <c r="E174" s="2"/>
      <c r="F174" s="2"/>
      <c r="G174" s="2"/>
      <c r="H174" s="2"/>
      <c r="I174" s="2"/>
      <c r="J174" s="2"/>
      <c r="K174" s="2"/>
      <c r="L174" s="2"/>
    </row>
    <row r="175" spans="1:18" ht="15" thickBot="1">
      <c r="A175" s="57" t="s">
        <v>69</v>
      </c>
      <c r="B175" s="58">
        <f>COUNTIF(Table18[สถานะ],"กำลังดำเนินการ")</f>
        <v>18</v>
      </c>
      <c r="C175" s="56"/>
      <c r="D175" s="2"/>
      <c r="E175" s="2"/>
      <c r="F175" s="2"/>
      <c r="G175" s="2"/>
      <c r="H175" s="2"/>
      <c r="I175" s="2"/>
      <c r="J175" s="2"/>
      <c r="K175" s="2"/>
      <c r="L175" s="2"/>
    </row>
    <row r="176" spans="1:18" ht="15" thickBot="1">
      <c r="A176" s="59" t="s">
        <v>3</v>
      </c>
      <c r="B176" s="60">
        <f>COUNTIF(Table18[สถานะ],"รอดำเนินการ")</f>
        <v>41</v>
      </c>
      <c r="C176" s="56"/>
      <c r="D176" s="2"/>
      <c r="E176" s="2"/>
      <c r="F176" s="2"/>
      <c r="G176" s="2"/>
      <c r="H176" s="2"/>
      <c r="I176" s="2"/>
      <c r="J176" s="2"/>
      <c r="K176" s="2"/>
      <c r="L176" s="2"/>
    </row>
    <row r="177" spans="1:16" ht="16.2" thickBot="1">
      <c r="A177" s="61" t="s">
        <v>70</v>
      </c>
      <c r="B177" s="62">
        <f>COUNTIF(Table18[สถานะ],"โอนย้าย")</f>
        <v>0</v>
      </c>
    </row>
    <row r="178" spans="1:16" ht="37.799999999999997" customHeight="1" thickBot="1">
      <c r="A178" s="302" t="s">
        <v>457</v>
      </c>
      <c r="B178" s="303"/>
      <c r="C178" s="303"/>
      <c r="D178" s="303"/>
      <c r="E178" s="303"/>
      <c r="F178" s="303"/>
      <c r="G178" s="303"/>
      <c r="H178" s="303"/>
      <c r="I178" s="303"/>
      <c r="J178" s="303"/>
      <c r="K178" s="303"/>
      <c r="L178" s="303"/>
      <c r="M178" s="303"/>
      <c r="N178" s="303"/>
      <c r="O178" s="303"/>
      <c r="P178" s="303"/>
    </row>
    <row r="179" spans="1:16" ht="18.600000000000001" thickBot="1">
      <c r="A179" s="304" t="s">
        <v>368</v>
      </c>
      <c r="B179" s="304" t="s">
        <v>42</v>
      </c>
      <c r="C179" s="306" t="s">
        <v>43</v>
      </c>
      <c r="D179" s="308" t="s">
        <v>44</v>
      </c>
      <c r="E179" s="309"/>
      <c r="F179" s="309"/>
      <c r="G179" s="309"/>
      <c r="H179" s="309"/>
      <c r="I179" s="309"/>
      <c r="J179" s="309"/>
      <c r="K179" s="309"/>
      <c r="L179" s="309"/>
      <c r="M179" s="309"/>
      <c r="N179" s="309"/>
      <c r="O179" s="309"/>
      <c r="P179" s="309"/>
    </row>
    <row r="180" spans="1:16" ht="15" thickBot="1">
      <c r="A180" s="305"/>
      <c r="B180" s="305"/>
      <c r="C180" s="307"/>
      <c r="D180" s="43" t="s">
        <v>45</v>
      </c>
      <c r="E180" s="43" t="s">
        <v>46</v>
      </c>
      <c r="F180" s="44" t="s">
        <v>47</v>
      </c>
      <c r="G180" s="44" t="s">
        <v>48</v>
      </c>
      <c r="H180" s="44" t="s">
        <v>49</v>
      </c>
      <c r="I180" s="44" t="s">
        <v>50</v>
      </c>
      <c r="J180" s="44" t="s">
        <v>51</v>
      </c>
      <c r="K180" s="44" t="s">
        <v>52</v>
      </c>
      <c r="L180" s="45" t="s">
        <v>53</v>
      </c>
      <c r="M180" s="46" t="s">
        <v>72</v>
      </c>
      <c r="N180" s="46" t="s">
        <v>117</v>
      </c>
      <c r="O180" s="189" t="s">
        <v>376</v>
      </c>
      <c r="P180" s="189" t="s">
        <v>357</v>
      </c>
    </row>
    <row r="181" spans="1:16" ht="15" thickBot="1">
      <c r="A181" s="47" t="s">
        <v>54</v>
      </c>
      <c r="B181" s="48">
        <f>COUNTIFS(Table18[ฝ่าย],A181,Table18[สัปดาห์แจ้งซ่อม],1)</f>
        <v>10</v>
      </c>
      <c r="C181" s="49">
        <f>B181/B195</f>
        <v>1</v>
      </c>
      <c r="D181" s="162">
        <f>IF(COUNTIFS(Table18[ประเภท],D180,Table18[ฝ่าย],A181,Table18[สัปดาห์แจ้งซ่อม],"1")=0,"-",COUNTIFS(Table18[ประเภท],D180,Table18[ฝ่าย],A181,Table18[สัปดาห์แจ้งซ่อม],"1"))</f>
        <v>1</v>
      </c>
      <c r="E181" s="162">
        <f>IF(COUNTIFS(Table16[ประเภท],E180,Table16[ฝ่าย],A181,Table16[สัปดาห์แจ้งซ่อม],"1")=0,"-",COUNTIFS(Table16[ประเภท],E180,Table16[ฝ่าย],A181,Table16[สัปดาห์แจ้งซ่อม],"1"))</f>
        <v>6</v>
      </c>
      <c r="F181" s="162">
        <f>IF(COUNTIFS(Table16[ประเภท],F180,Table16[ฝ่าย],A181,Table16[สัปดาห์แจ้งซ่อม],"1")=0,"-",COUNTIFS(Table16[ประเภท],F180,Table16[ฝ่าย],A181,Table16[สัปดาห์แจ้งซ่อม],"1"))</f>
        <v>3</v>
      </c>
      <c r="G181" s="162" t="str">
        <f>IF(COUNTIFS(Table16[ประเภท],G180,Table16[ฝ่าย],A181,Table16[สัปดาห์แจ้งซ่อม],"1")=0,"-",COUNTIFS(Table16[ประเภท],G180,Table16[ฝ่าย],A181,Table16[สัปดาห์แจ้งซ่อม],"1"))</f>
        <v>-</v>
      </c>
      <c r="H181" s="162">
        <f>IF(COUNTIFS(Table16[ประเภท],H180,Table16[ฝ่าย],A181,Table16[สัปดาห์แจ้งซ่อม],"1")=0,"-",COUNTIFS(Table16[ประเภท],H180,Table16[ฝ่าย],A181,Table16[สัปดาห์แจ้งซ่อม],"1"))</f>
        <v>5</v>
      </c>
      <c r="I181" s="162">
        <f>IF(COUNTIFS(Table16[ประเภท],I180,Table16[ฝ่าย],A181,Table16[สัปดาห์แจ้งซ่อม],"1")=0,"-",COUNTIFS(Table16[ประเภท],I180,Table16[ฝ่าย],A181,Table16[สัปดาห์แจ้งซ่อม],"1"))</f>
        <v>1</v>
      </c>
      <c r="J181" s="162">
        <f>IF(COUNTIFS(Table16[ประเภท],J180,Table16[ฝ่าย],A181,Table16[สัปดาห์แจ้งซ่อม],"1")=0,"-",COUNTIFS(Table16[ประเภท],J180,Table16[ฝ่าย],A181,Table16[สัปดาห์แจ้งซ่อม],"1"))</f>
        <v>4</v>
      </c>
      <c r="K181" s="162">
        <f>IF(COUNTIFS(Table16[ประเภท],K180,Table16[ฝ่าย],A181,Table16[สัปดาห์แจ้งซ่อม],"1")=0,"-",COUNTIFS(Table16[ประเภท],K180,Table16[ฝ่าย],A181,Table16[สัปดาห์แจ้งซ่อม],"1"))</f>
        <v>12</v>
      </c>
      <c r="L181" s="162" t="str">
        <f>IF(COUNTIFS(Table16[ประเภท],L180,Table16[ฝ่าย],A181,Table16[สัปดาห์แจ้งซ่อม],"1")=0,"-",COUNTIFS(Table16[ประเภท],L180,Table16[ฝ่าย],A181,Table16[สัปดาห์แจ้งซ่อม],"1"))</f>
        <v>-</v>
      </c>
      <c r="M181" s="162">
        <f>IF(COUNTIFS(Table16[ประเภท],M180,Table16[ฝ่าย],A181,Table16[สัปดาห์แจ้งซ่อม],"1")=0,"-",COUNTIFS(Table16[ประเภท],M180,Table16[ฝ่าย],A181,Table16[สัปดาห์แจ้งซ่อม],"1"))</f>
        <v>2</v>
      </c>
      <c r="N181" s="162">
        <f>IF(COUNTIFS(Table16[ประเภท],N180,Table16[ฝ่าย],A181,Table16[สัปดาห์แจ้งซ่อม],"1")=0,"-",COUNTIFS(Table16[ประเภท],N180,Table16[ฝ่าย],A181,Table16[สัปดาห์แจ้งซ่อม],"1"))</f>
        <v>3</v>
      </c>
      <c r="O181" s="162">
        <f>IF(COUNTIFS(Table16[ประเภท],O180,Table16[ฝ่าย],A181,Table16[สัปดาห์แจ้งซ่อม],"1")=0,"-",COUNTIFS(Table16[ประเภท],O180,Table16[ฝ่าย],A181,Table16[สัปดาห์แจ้งซ่อม],"1"))</f>
        <v>2</v>
      </c>
      <c r="P181" s="190">
        <f>IF(COUNTIFS(Table16[ประเภท],P180,Table16[ฝ่าย],A181,Table16[สัปดาห์แจ้งซ่อม],"1")=0,"-",COUNTIFS(Table16[ประเภท],P180,Table16[ฝ่าย],A181,Table16[สัปดาห์แจ้งซ่อม],"1"))</f>
        <v>4</v>
      </c>
    </row>
    <row r="182" spans="1:16" ht="15" thickBot="1">
      <c r="A182" s="47" t="s">
        <v>55</v>
      </c>
      <c r="B182" s="48">
        <f>COUNTIFS(Table18[ฝ่าย],A182,Table18[สัปดาห์แจ้งซ่อม],1)</f>
        <v>0</v>
      </c>
      <c r="C182" s="49">
        <f>B182/B195</f>
        <v>0</v>
      </c>
      <c r="D182" s="162" t="str">
        <f>IF(COUNTIFS(Table18[ประเภท],D180,Table18[ฝ่าย],A182,Table18[สัปดาห์แจ้งซ่อม],"1")=0,"-",COUNTIFS(Table18[ประเภท],D180,Table18[ฝ่าย],A182,Table18[สัปดาห์แจ้งซ่อม],"1"))</f>
        <v>-</v>
      </c>
      <c r="E182" s="162" t="str">
        <f>IF(COUNTIFS(Table16[ประเภท],E180,Table16[ฝ่าย],A182,Table16[สัปดาห์แจ้งซ่อม],"1")=0,"-",COUNTIFS(Table16[ประเภท],E180,Table16[ฝ่าย],A182,Table16[สัปดาห์แจ้งซ่อม],"1"))</f>
        <v>-</v>
      </c>
      <c r="F182" s="162" t="str">
        <f>IF(COUNTIFS(Table16[ประเภท],F180,Table16[ฝ่าย],A182,Table16[สัปดาห์แจ้งซ่อม],"1")=0,"-",COUNTIFS(Table16[ประเภท],F180,Table16[ฝ่าย],A182,Table16[สัปดาห์แจ้งซ่อม],"1"))</f>
        <v>-</v>
      </c>
      <c r="G182" s="162" t="str">
        <f>IF(COUNTIFS(Table16[ประเภท],G180,Table16[ฝ่าย],A182,Table16[สัปดาห์แจ้งซ่อม],"1")=0,"-",COUNTIFS(Table16[ประเภท],G180,Table16[ฝ่าย],A182,Table16[สัปดาห์แจ้งซ่อม],"1"))</f>
        <v>-</v>
      </c>
      <c r="H182" s="162" t="str">
        <f>IF(COUNTIFS(Table16[ประเภท],H180,Table16[ฝ่าย],A182,Table16[สัปดาห์แจ้งซ่อม],"1")=0,"-",COUNTIFS(Table16[ประเภท],H180,Table16[ฝ่าย],A182,Table16[สัปดาห์แจ้งซ่อม],"1"))</f>
        <v>-</v>
      </c>
      <c r="I182" s="162" t="str">
        <f>IF(COUNTIFS(Table16[ประเภท],I180,Table16[ฝ่าย],A182,Table16[สัปดาห์แจ้งซ่อม],"1")=0,"-",COUNTIFS(Table16[ประเภท],I180,Table16[ฝ่าย],A182,Table16[สัปดาห์แจ้งซ่อม],"1"))</f>
        <v>-</v>
      </c>
      <c r="J182" s="162" t="str">
        <f>IF(COUNTIFS(Table16[ประเภท],J180,Table16[ฝ่าย],A182,Table16[สัปดาห์แจ้งซ่อม],"1")=0,"-",COUNTIFS(Table16[ประเภท],J180,Table16[ฝ่าย],A182,Table16[สัปดาห์แจ้งซ่อม],"1"))</f>
        <v>-</v>
      </c>
      <c r="K182" s="162" t="str">
        <f>IF(COUNTIFS(Table16[ประเภท],K180,Table16[ฝ่าย],A182,Table16[สัปดาห์แจ้งซ่อม],"1")=0,"-",COUNTIFS(Table16[ประเภท],K180,Table16[ฝ่าย],A182,Table16[สัปดาห์แจ้งซ่อม],"1"))</f>
        <v>-</v>
      </c>
      <c r="L182" s="162" t="str">
        <f>IF(COUNTIFS(Table16[ประเภท],L180,Table16[ฝ่าย],A182,Table16[สัปดาห์แจ้งซ่อม],"1")=0,"-",COUNTIFS(Table16[ประเภท],L180,Table16[ฝ่าย],A182,Table16[สัปดาห์แจ้งซ่อม],"1"))</f>
        <v>-</v>
      </c>
      <c r="M182" s="162" t="str">
        <f>IF(COUNTIFS(Table16[ประเภท],M180,Table16[ฝ่าย],A182,Table16[สัปดาห์แจ้งซ่อม],"1")=0,"-",COUNTIFS(Table16[ประเภท],M180,Table16[ฝ่าย],A182,Table16[สัปดาห์แจ้งซ่อม],"1"))</f>
        <v>-</v>
      </c>
      <c r="N182" s="162" t="str">
        <f>IF(COUNTIFS(Table16[ประเภท],N180,Table16[ฝ่าย],A182,Table16[สัปดาห์แจ้งซ่อม],"1")=0,"-",COUNTIFS(Table16[ประเภท],N180,Table16[ฝ่าย],A182,Table16[สัปดาห์แจ้งซ่อม],"1"))</f>
        <v>-</v>
      </c>
      <c r="O182" s="162"/>
      <c r="P182" s="190" t="str">
        <f>IF(COUNTIFS(Table16[ประเภท],P180,Table16[ฝ่าย],A182,Table16[สัปดาห์แจ้งซ่อม],"1")=0,"-",COUNTIFS(Table16[ประเภท],P180,Table16[ฝ่าย],A182,Table16[สัปดาห์แจ้งซ่อม],"1"))</f>
        <v>-</v>
      </c>
    </row>
    <row r="183" spans="1:16" ht="15" thickBot="1">
      <c r="A183" s="47" t="s">
        <v>56</v>
      </c>
      <c r="B183" s="48">
        <f>COUNTIFS(Table18[ฝ่าย],A183,Table18[สัปดาห์แจ้งซ่อม],1)</f>
        <v>0</v>
      </c>
      <c r="C183" s="49">
        <f>B183/B195</f>
        <v>0</v>
      </c>
      <c r="D183" s="162" t="str">
        <f>IF(COUNTIFS(Table18[ประเภท],D180,Table18[ฝ่าย],A183,Table18[สัปดาห์แจ้งซ่อม],"1")=0,"-",COUNTIFS(Table18[ประเภท],D180,Table18[ฝ่าย],A183,Table18[สัปดาห์แจ้งซ่อม],"1"))</f>
        <v>-</v>
      </c>
      <c r="E183" s="162" t="str">
        <f>IF(COUNTIFS(Table16[ประเภท],E180,Table16[ฝ่าย],A183,Table16[สัปดาห์แจ้งซ่อม],"1")=0,"-",COUNTIFS(Table16[ประเภท],E180,Table16[ฝ่าย],A183,Table16[สัปดาห์แจ้งซ่อม],"1"))</f>
        <v>-</v>
      </c>
      <c r="F183" s="162" t="str">
        <f>IF(COUNTIFS(Table16[ประเภท],F180,Table16[ฝ่าย],A183,Table16[สัปดาห์แจ้งซ่อม],"1")=0,"-",COUNTIFS(Table16[ประเภท],F180,Table16[ฝ่าย],A183,Table16[สัปดาห์แจ้งซ่อม],"1"))</f>
        <v>-</v>
      </c>
      <c r="G183" s="162" t="str">
        <f>IF(COUNTIFS(Table16[ประเภท],G180,Table16[ฝ่าย],A183,Table16[สัปดาห์แจ้งซ่อม],"1")=0,"-",COUNTIFS(Table16[ประเภท],G180,Table16[ฝ่าย],A183,Table16[สัปดาห์แจ้งซ่อม],"1"))</f>
        <v>-</v>
      </c>
      <c r="H183" s="162" t="str">
        <f>IF(COUNTIFS(Table16[ประเภท],H180,Table16[ฝ่าย],A183,Table16[สัปดาห์แจ้งซ่อม],"1")=0,"-",COUNTIFS(Table16[ประเภท],H180,Table16[ฝ่าย],A183,Table16[สัปดาห์แจ้งซ่อม],"1"))</f>
        <v>-</v>
      </c>
      <c r="I183" s="162" t="str">
        <f>IF(COUNTIFS(Table16[ประเภท],I180,Table16[ฝ่าย],A183,Table16[สัปดาห์แจ้งซ่อม],"1")=0,"-",COUNTIFS(Table16[ประเภท],I180,Table16[ฝ่าย],A183,Table16[สัปดาห์แจ้งซ่อม],"1"))</f>
        <v>-</v>
      </c>
      <c r="J183" s="162" t="str">
        <f>IF(COUNTIFS(Table16[ประเภท],J180,Table16[ฝ่าย],A183,Table16[สัปดาห์แจ้งซ่อม],"1")=0,"-",COUNTIFS(Table16[ประเภท],J180,Table16[ฝ่าย],A183,Table16[สัปดาห์แจ้งซ่อม],"1"))</f>
        <v>-</v>
      </c>
      <c r="K183" s="162" t="str">
        <f>IF(COUNTIFS(Table16[ประเภท],K180,Table16[ฝ่าย],A183,Table16[สัปดาห์แจ้งซ่อม],"1")=0,"-",COUNTIFS(Table16[ประเภท],K180,Table16[ฝ่าย],A183,Table16[สัปดาห์แจ้งซ่อม],"1"))</f>
        <v>-</v>
      </c>
      <c r="L183" s="162">
        <f>IF(COUNTIFS(Table16[ประเภท],L180,Table16[ฝ่าย],A183,Table16[สัปดาห์แจ้งซ่อม],"1")=0,"-",COUNTIFS(Table16[ประเภท],L180,Table16[ฝ่าย],A183,Table16[สัปดาห์แจ้งซ่อม],"1"))</f>
        <v>1</v>
      </c>
      <c r="M183" s="162" t="str">
        <f>IF(COUNTIFS(Table16[ประเภท],M180,Table16[ฝ่าย],A183,Table16[สัปดาห์แจ้งซ่อม],"1")=0,"-",COUNTIFS(Table16[ประเภท],M180,Table16[ฝ่าย],A183,Table16[สัปดาห์แจ้งซ่อม],"1"))</f>
        <v>-</v>
      </c>
      <c r="N183" s="162" t="str">
        <f>IF(COUNTIFS(Table16[ประเภท],N180,Table16[ฝ่าย],A183,Table16[สัปดาห์แจ้งซ่อม],"1")=0,"-",COUNTIFS(Table16[ประเภท],N180,Table16[ฝ่าย],A183,Table16[สัปดาห์แจ้งซ่อม],"1"))</f>
        <v>-</v>
      </c>
      <c r="O183" s="162"/>
      <c r="P183" s="190" t="str">
        <f>IF(COUNTIFS(Table16[ประเภท],P180,Table16[ฝ่าย],A183,Table16[สัปดาห์แจ้งซ่อม],"1")=0,"-",COUNTIFS(Table16[ประเภท],P180,Table16[ฝ่าย],A183,Table16[สัปดาห์แจ้งซ่อม],"1"))</f>
        <v>-</v>
      </c>
    </row>
    <row r="184" spans="1:16" ht="15" thickBot="1">
      <c r="A184" s="47" t="s">
        <v>57</v>
      </c>
      <c r="B184" s="48">
        <f>COUNTIFS(Table18[ฝ่าย],A184,Table18[สัปดาห์แจ้งซ่อม],1)</f>
        <v>0</v>
      </c>
      <c r="C184" s="49">
        <f>B184/B195</f>
        <v>0</v>
      </c>
      <c r="D184" s="162" t="str">
        <f>IF(COUNTIFS(Table18[ประเภท],D180,Table18[ฝ่าย],A184,Table18[สัปดาห์แจ้งซ่อม],"1")=0,"-",COUNTIFS(Table18[ประเภท],D180,Table18[ฝ่าย],A184,Table18[สัปดาห์แจ้งซ่อม],"1"))</f>
        <v>-</v>
      </c>
      <c r="E184" s="162" t="str">
        <f>IF(COUNTIFS(Table16[ประเภท],E180,Table16[ฝ่าย],A184,Table16[สัปดาห์แจ้งซ่อม],"1")=0,"-",COUNTIFS(Table16[ประเภท],E180,Table16[ฝ่าย],A184,Table16[สัปดาห์แจ้งซ่อม],"1"))</f>
        <v>-</v>
      </c>
      <c r="F184" s="162" t="str">
        <f>IF(COUNTIFS(Table16[ประเภท],F180,Table16[ฝ่าย],A184,Table16[สัปดาห์แจ้งซ่อม],"1")=0,"-",COUNTIFS(Table16[ประเภท],F180,Table16[ฝ่าย],A184,Table16[สัปดาห์แจ้งซ่อม],"1"))</f>
        <v>-</v>
      </c>
      <c r="G184" s="162" t="str">
        <f>IF(COUNTIFS(Table16[ประเภท],G180,Table16[ฝ่าย],A184,Table16[สัปดาห์แจ้งซ่อม],"1")=0,"-",COUNTIFS(Table16[ประเภท],G180,Table16[ฝ่าย],A184,Table16[สัปดาห์แจ้งซ่อม],"1"))</f>
        <v>-</v>
      </c>
      <c r="H184" s="162" t="str">
        <f>IF(COUNTIFS(Table16[ประเภท],H180,Table16[ฝ่าย],A184,Table16[สัปดาห์แจ้งซ่อม],"1")=0,"-",COUNTIFS(Table16[ประเภท],H180,Table16[ฝ่าย],A184,Table16[สัปดาห์แจ้งซ่อม],"1"))</f>
        <v>-</v>
      </c>
      <c r="I184" s="162" t="str">
        <f>IF(COUNTIFS(Table16[ประเภท],I180,Table16[ฝ่าย],A184,Table16[สัปดาห์แจ้งซ่อม],"1")=0,"-",COUNTIFS(Table16[ประเภท],I180,Table16[ฝ่าย],A184,Table16[สัปดาห์แจ้งซ่อม],"1"))</f>
        <v>-</v>
      </c>
      <c r="J184" s="162" t="str">
        <f>IF(COUNTIFS(Table16[ประเภท],J180,Table16[ฝ่าย],A184,Table16[สัปดาห์แจ้งซ่อม],"1")=0,"-",COUNTIFS(Table16[ประเภท],J180,Table16[ฝ่าย],A184,Table16[สัปดาห์แจ้งซ่อม],"1"))</f>
        <v>-</v>
      </c>
      <c r="K184" s="162" t="str">
        <f>IF(COUNTIFS(Table16[ประเภท],K180,Table16[ฝ่าย],A184,Table16[สัปดาห์แจ้งซ่อม],"1")=0,"-",COUNTIFS(Table16[ประเภท],K180,Table16[ฝ่าย],A184,Table16[สัปดาห์แจ้งซ่อม],"1"))</f>
        <v>-</v>
      </c>
      <c r="L184" s="162" t="str">
        <f>IF(COUNTIFS(Table16[ประเภท],L180,Table16[ฝ่าย],A184,Table16[สัปดาห์แจ้งซ่อม],"1")=0,"-",COUNTIFS(Table16[ประเภท],L180,Table16[ฝ่าย],A184,Table16[สัปดาห์แจ้งซ่อม],"1"))</f>
        <v>-</v>
      </c>
      <c r="M184" s="162" t="str">
        <f>IF(COUNTIFS(Table16[ประเภท],M180,Table16[ฝ่าย],A184,Table16[สัปดาห์แจ้งซ่อม],"1")=0,"-",COUNTIFS(Table16[ประเภท],M180,Table16[ฝ่าย],A184,Table16[สัปดาห์แจ้งซ่อม],"1"))</f>
        <v>-</v>
      </c>
      <c r="N184" s="162" t="str">
        <f>IF(COUNTIFS(Table16[ประเภท],N180,Table16[ฝ่าย],A184,Table16[สัปดาห์แจ้งซ่อม],"1")=0,"-",COUNTIFS(Table16[ประเภท],N180,Table16[ฝ่าย],A184,Table16[สัปดาห์แจ้งซ่อม],"1"))</f>
        <v>-</v>
      </c>
      <c r="O184" s="162"/>
      <c r="P184" s="190" t="str">
        <f>IF(COUNTIFS(Table16[ประเภท],P180,Table16[ฝ่าย],A184,Table16[สัปดาห์แจ้งซ่อม],"1")=0,"-",COUNTIFS(Table16[ประเภท],P180,Table16[ฝ่าย],A184,Table16[สัปดาห์แจ้งซ่อม],"1"))</f>
        <v>-</v>
      </c>
    </row>
    <row r="185" spans="1:16" ht="15" thickBot="1">
      <c r="A185" s="47" t="s">
        <v>58</v>
      </c>
      <c r="B185" s="48">
        <f>COUNTIFS(Table18[ฝ่าย],A185,Table18[สัปดาห์แจ้งซ่อม],1)</f>
        <v>0</v>
      </c>
      <c r="C185" s="49">
        <f>B185/B195</f>
        <v>0</v>
      </c>
      <c r="D185" s="162" t="str">
        <f>IF(COUNTIFS(Table18[ประเภท],D180,Table18[ฝ่าย],A185,Table18[สัปดาห์แจ้งซ่อม],"1")=0,"-",COUNTIFS(Table18[ประเภท],D180,Table18[ฝ่าย],A185,Table18[สัปดาห์แจ้งซ่อม],"1"))</f>
        <v>-</v>
      </c>
      <c r="E185" s="162" t="str">
        <f>IF(COUNTIFS(Table16[ประเภท],E180,Table16[ฝ่าย],A185,Table16[สัปดาห์แจ้งซ่อม],"1")=0,"-",COUNTIFS(Table16[ประเภท],E180,Table16[ฝ่าย],A185,Table16[สัปดาห์แจ้งซ่อม],"1"))</f>
        <v>-</v>
      </c>
      <c r="F185" s="162" t="str">
        <f>IF(COUNTIFS(Table16[ประเภท],F180,Table16[ฝ่าย],A185,Table16[สัปดาห์แจ้งซ่อม],"1")=0,"-",COUNTIFS(Table16[ประเภท],F180,Table16[ฝ่าย],A185,Table16[สัปดาห์แจ้งซ่อม],"1"))</f>
        <v>-</v>
      </c>
      <c r="G185" s="162" t="str">
        <f>IF(COUNTIFS(Table16[ประเภท],G180,Table16[ฝ่าย],A185,Table16[สัปดาห์แจ้งซ่อม],"1")=0,"-",COUNTIFS(Table16[ประเภท],G180,Table16[ฝ่าย],A185,Table16[สัปดาห์แจ้งซ่อม],"1"))</f>
        <v>-</v>
      </c>
      <c r="H185" s="162" t="str">
        <f>IF(COUNTIFS(Table16[ประเภท],H180,Table16[ฝ่าย],A185,Table16[สัปดาห์แจ้งซ่อม],"1")=0,"-",COUNTIFS(Table16[ประเภท],H180,Table16[ฝ่าย],A185,Table16[สัปดาห์แจ้งซ่อม],"1"))</f>
        <v>-</v>
      </c>
      <c r="I185" s="162" t="str">
        <f>IF(COUNTIFS(Table16[ประเภท],I180,Table16[ฝ่าย],A185,Table16[สัปดาห์แจ้งซ่อม],"1")=0,"-",COUNTIFS(Table16[ประเภท],I180,Table16[ฝ่าย],A185,Table16[สัปดาห์แจ้งซ่อม],"1"))</f>
        <v>-</v>
      </c>
      <c r="J185" s="162" t="str">
        <f>IF(COUNTIFS(Table16[ประเภท],J180,Table16[ฝ่าย],A185,Table16[สัปดาห์แจ้งซ่อม],"1")=0,"-",COUNTIFS(Table16[ประเภท],J180,Table16[ฝ่าย],A185,Table16[สัปดาห์แจ้งซ่อม],"1"))</f>
        <v>-</v>
      </c>
      <c r="K185" s="162" t="str">
        <f>IF(COUNTIFS(Table16[ประเภท],K180,Table16[ฝ่าย],A185,Table16[สัปดาห์แจ้งซ่อม],"1")=0,"-",COUNTIFS(Table16[ประเภท],K180,Table16[ฝ่าย],A185,Table16[สัปดาห์แจ้งซ่อม],"1"))</f>
        <v>-</v>
      </c>
      <c r="L185" s="162" t="str">
        <f>IF(COUNTIFS(Table16[ประเภท],L180,Table16[ฝ่าย],A185,Table16[สัปดาห์แจ้งซ่อม],"1")=0,"-",COUNTIFS(Table16[ประเภท],L180,Table16[ฝ่าย],A185,Table16[สัปดาห์แจ้งซ่อม],"1"))</f>
        <v>-</v>
      </c>
      <c r="M185" s="162" t="str">
        <f>IF(COUNTIFS(Table16[ประเภท],M180,Table16[ฝ่าย],A185,Table16[สัปดาห์แจ้งซ่อม],"1")=0,"-",COUNTIFS(Table16[ประเภท],M180,Table16[ฝ่าย],A185,Table16[สัปดาห์แจ้งซ่อม],"1"))</f>
        <v>-</v>
      </c>
      <c r="N185" s="162" t="str">
        <f>IF(COUNTIFS(Table16[ประเภท],N180,Table16[ฝ่าย],A185,Table16[สัปดาห์แจ้งซ่อม],"1")=0,"-",COUNTIFS(Table16[ประเภท],N180,Table16[ฝ่าย],A185,Table16[สัปดาห์แจ้งซ่อม],"1"))</f>
        <v>-</v>
      </c>
      <c r="O185" s="162"/>
      <c r="P185" s="190" t="str">
        <f>IF(COUNTIFS(Table16[ประเภท],P180,Table16[ฝ่าย],A185,Table16[สัปดาห์แจ้งซ่อม],"1")=0,"-",COUNTIFS(Table16[ประเภท],P180,Table16[ฝ่าย],A185,Table16[สัปดาห์แจ้งซ่อม],"1"))</f>
        <v>-</v>
      </c>
    </row>
    <row r="186" spans="1:16" ht="15" thickBot="1">
      <c r="A186" s="47" t="s">
        <v>59</v>
      </c>
      <c r="B186" s="48">
        <f>COUNTIFS(Table18[ฝ่าย],A186,Table18[สัปดาห์แจ้งซ่อม],1)</f>
        <v>0</v>
      </c>
      <c r="C186" s="49">
        <f>B186/B195</f>
        <v>0</v>
      </c>
      <c r="D186" s="162" t="str">
        <f>IF(COUNTIFS(Table18[ประเภท],D180,Table18[ฝ่าย],A186,Table18[สัปดาห์แจ้งซ่อม],"1")=0,"-",COUNTIFS(Table18[ประเภท],D180,Table18[ฝ่าย],A186,Table18[สัปดาห์แจ้งซ่อม],"1"))</f>
        <v>-</v>
      </c>
      <c r="E186" s="162" t="str">
        <f>IF(COUNTIFS(Table16[ประเภท],E180,Table16[ฝ่าย],A186,Table16[สัปดาห์แจ้งซ่อม],"1")=0,"-",COUNTIFS(Table16[ประเภท],E180,Table16[ฝ่าย],A186,Table16[สัปดาห์แจ้งซ่อม],"1"))</f>
        <v>-</v>
      </c>
      <c r="F186" s="162" t="str">
        <f>IF(COUNTIFS(Table16[ประเภท],F180,Table16[ฝ่าย],A186,Table16[สัปดาห์แจ้งซ่อม],"1")=0,"-",COUNTIFS(Table16[ประเภท],F180,Table16[ฝ่าย],A186,Table16[สัปดาห์แจ้งซ่อม],"1"))</f>
        <v>-</v>
      </c>
      <c r="G186" s="162" t="str">
        <f>IF(COUNTIFS(Table16[ประเภท],G180,Table16[ฝ่าย],A186,Table16[สัปดาห์แจ้งซ่อม],"1")=0,"-",COUNTIFS(Table16[ประเภท],G180,Table16[ฝ่าย],A186,Table16[สัปดาห์แจ้งซ่อม],"1"))</f>
        <v>-</v>
      </c>
      <c r="H186" s="162" t="str">
        <f>IF(COUNTIFS(Table16[ประเภท],H180,Table16[ฝ่าย],A186,Table16[สัปดาห์แจ้งซ่อม],"1")=0,"-",COUNTIFS(Table16[ประเภท],H180,Table16[ฝ่าย],A186,Table16[สัปดาห์แจ้งซ่อม],"1"))</f>
        <v>-</v>
      </c>
      <c r="I186" s="162" t="str">
        <f>IF(COUNTIFS(Table16[ประเภท],I180,Table16[ฝ่าย],A186,Table16[สัปดาห์แจ้งซ่อม],"1")=0,"-",COUNTIFS(Table16[ประเภท],I180,Table16[ฝ่าย],A186,Table16[สัปดาห์แจ้งซ่อม],"1"))</f>
        <v>-</v>
      </c>
      <c r="J186" s="162" t="str">
        <f>IF(COUNTIFS(Table16[ประเภท],J180,Table16[ฝ่าย],A186,Table16[สัปดาห์แจ้งซ่อม],"1")=0,"-",COUNTIFS(Table16[ประเภท],J180,Table16[ฝ่าย],A186,Table16[สัปดาห์แจ้งซ่อม],"1"))</f>
        <v>-</v>
      </c>
      <c r="K186" s="162" t="str">
        <f>IF(COUNTIFS(Table16[ประเภท],K180,Table16[ฝ่าย],A186,Table16[สัปดาห์แจ้งซ่อม],"1")=0,"-",COUNTIFS(Table16[ประเภท],K180,Table16[ฝ่าย],A186,Table16[สัปดาห์แจ้งซ่อม],"1"))</f>
        <v>-</v>
      </c>
      <c r="L186" s="162" t="str">
        <f>IF(COUNTIFS(Table16[ประเภท],L180,Table16[ฝ่าย],A186,Table16[สัปดาห์แจ้งซ่อม],"1")=0,"-",COUNTIFS(Table16[ประเภท],L180,Table16[ฝ่าย],A186,Table16[สัปดาห์แจ้งซ่อม],"1"))</f>
        <v>-</v>
      </c>
      <c r="M186" s="162" t="str">
        <f>IF(COUNTIFS(Table16[ประเภท],M180,Table16[ฝ่าย],A186,Table16[สัปดาห์แจ้งซ่อม],"1")=0,"-",COUNTIFS(Table16[ประเภท],M180,Table16[ฝ่าย],A186,Table16[สัปดาห์แจ้งซ่อม],"1"))</f>
        <v>-</v>
      </c>
      <c r="N186" s="162" t="str">
        <f>IF(COUNTIFS(Table16[ประเภท],N180,Table16[ฝ่าย],A186,Table16[สัปดาห์แจ้งซ่อม],"1")=0,"-",COUNTIFS(Table16[ประเภท],N180,Table16[ฝ่าย],A186,Table16[สัปดาห์แจ้งซ่อม],"1"))</f>
        <v>-</v>
      </c>
      <c r="O186" s="162"/>
      <c r="P186" s="190" t="str">
        <f>IF(COUNTIFS(Table16[ประเภท],P180,Table16[ฝ่าย],A186,Table16[สัปดาห์แจ้งซ่อม],"1")=0,"-",COUNTIFS(Table16[ประเภท],P180,Table16[ฝ่าย],A186,Table16[สัปดาห์แจ้งซ่อม],"1"))</f>
        <v>-</v>
      </c>
    </row>
    <row r="187" spans="1:16" ht="15" thickBot="1">
      <c r="A187" s="47" t="s">
        <v>60</v>
      </c>
      <c r="B187" s="48">
        <f>COUNTIFS(Table18[ฝ่าย],A187,Table18[สัปดาห์แจ้งซ่อม],1)</f>
        <v>0</v>
      </c>
      <c r="C187" s="49">
        <f>B187/B195</f>
        <v>0</v>
      </c>
      <c r="D187" s="162" t="str">
        <f>IF(COUNTIFS(Table18[ประเภท],D180,Table18[ฝ่าย],A187,Table18[สัปดาห์แจ้งซ่อม],"1")=0,"-",COUNTIFS(Table18[ประเภท],D180,Table18[ฝ่าย],A187,Table18[สัปดาห์แจ้งซ่อม],"1"))</f>
        <v>-</v>
      </c>
      <c r="E187" s="162" t="str">
        <f>IF(COUNTIFS(Table16[ประเภท],E180,Table16[ฝ่าย],A187,Table16[สัปดาห์แจ้งซ่อม],"1")=0,"-",COUNTIFS(Table16[ประเภท],E180,Table16[ฝ่าย],A187,Table16[สัปดาห์แจ้งซ่อม],"1"))</f>
        <v>-</v>
      </c>
      <c r="F187" s="162" t="str">
        <f>IF(COUNTIFS(Table16[ประเภท],F180,Table16[ฝ่าย],A187,Table16[สัปดาห์แจ้งซ่อม],"1")=0,"-",COUNTIFS(Table16[ประเภท],F180,Table16[ฝ่าย],A187,Table16[สัปดาห์แจ้งซ่อม],"1"))</f>
        <v>-</v>
      </c>
      <c r="G187" s="162" t="str">
        <f>IF(COUNTIFS(Table16[ประเภท],G180,Table16[ฝ่าย],A187,Table16[สัปดาห์แจ้งซ่อม],"1")=0,"-",COUNTIFS(Table16[ประเภท],G180,Table16[ฝ่าย],A187,Table16[สัปดาห์แจ้งซ่อม],"1"))</f>
        <v>-</v>
      </c>
      <c r="H187" s="162" t="str">
        <f>IF(COUNTIFS(Table16[ประเภท],H180,Table16[ฝ่าย],A187,Table16[สัปดาห์แจ้งซ่อม],"1")=0,"-",COUNTIFS(Table16[ประเภท],H180,Table16[ฝ่าย],A187,Table16[สัปดาห์แจ้งซ่อม],"1"))</f>
        <v>-</v>
      </c>
      <c r="I187" s="162" t="str">
        <f>IF(COUNTIFS(Table16[ประเภท],I180,Table16[ฝ่าย],A187,Table16[สัปดาห์แจ้งซ่อม],"1")=0,"-",COUNTIFS(Table16[ประเภท],I180,Table16[ฝ่าย],A187,Table16[สัปดาห์แจ้งซ่อม],"1"))</f>
        <v>-</v>
      </c>
      <c r="J187" s="162" t="str">
        <f>IF(COUNTIFS(Table16[ประเภท],J180,Table16[ฝ่าย],A187,Table16[สัปดาห์แจ้งซ่อม],"1")=0,"-",COUNTIFS(Table16[ประเภท],J180,Table16[ฝ่าย],A187,Table16[สัปดาห์แจ้งซ่อม],"1"))</f>
        <v>-</v>
      </c>
      <c r="K187" s="162" t="str">
        <f>IF(COUNTIFS(Table16[ประเภท],K180,Table16[ฝ่าย],A187,Table16[สัปดาห์แจ้งซ่อม],"1")=0,"-",COUNTIFS(Table16[ประเภท],K180,Table16[ฝ่าย],A187,Table16[สัปดาห์แจ้งซ่อม],"1"))</f>
        <v>-</v>
      </c>
      <c r="L187" s="162" t="str">
        <f>IF(COUNTIFS(Table16[ประเภท],L180,Table16[ฝ่าย],A187,Table16[สัปดาห์แจ้งซ่อม],"1")=0,"-",COUNTIFS(Table16[ประเภท],L180,Table16[ฝ่าย],A187,Table16[สัปดาห์แจ้งซ่อม],"1"))</f>
        <v>-</v>
      </c>
      <c r="M187" s="162" t="str">
        <f>IF(COUNTIFS(Table16[ประเภท],M180,Table16[ฝ่าย],A187,Table16[สัปดาห์แจ้งซ่อม],"1")=0,"-",COUNTIFS(Table16[ประเภท],M180,Table16[ฝ่าย],A187,Table16[สัปดาห์แจ้งซ่อม],"1"))</f>
        <v>-</v>
      </c>
      <c r="N187" s="162" t="str">
        <f>IF(COUNTIFS(Table16[ประเภท],N180,Table16[ฝ่าย],A187,Table16[สัปดาห์แจ้งซ่อม],"1")=0,"-",COUNTIFS(Table16[ประเภท],N180,Table16[ฝ่าย],A187,Table16[สัปดาห์แจ้งซ่อม],"1"))</f>
        <v>-</v>
      </c>
      <c r="O187" s="162"/>
      <c r="P187" s="190" t="str">
        <f>IF(COUNTIFS(Table16[ประเภท],P180,Table16[ฝ่าย],A187,Table16[สัปดาห์แจ้งซ่อม],"1")=0,"-",COUNTIFS(Table16[ประเภท],P180,Table16[ฝ่าย],A187,Table16[สัปดาห์แจ้งซ่อม],"1"))</f>
        <v>-</v>
      </c>
    </row>
    <row r="188" spans="1:16" ht="15" thickBot="1">
      <c r="A188" s="47" t="s">
        <v>61</v>
      </c>
      <c r="B188" s="48">
        <f>COUNTIFS(Table18[ฝ่าย],A188,Table18[สัปดาห์แจ้งซ่อม],1)</f>
        <v>0</v>
      </c>
      <c r="C188" s="49">
        <f>B188/B195</f>
        <v>0</v>
      </c>
      <c r="D188" s="162" t="str">
        <f>IF(COUNTIFS(Table18[ประเภท],D180,Table18[ฝ่าย],A188,Table18[สัปดาห์แจ้งซ่อม],"1")=0,"-",COUNTIFS(Table18[ประเภท],D180,Table18[ฝ่าย],A188,Table18[สัปดาห์แจ้งซ่อม],"1"))</f>
        <v>-</v>
      </c>
      <c r="E188" s="162" t="str">
        <f>IF(COUNTIFS(Table16[ประเภท],E180,Table16[ฝ่าย],A188,Table16[สัปดาห์แจ้งซ่อม],"1")=0,"-",COUNTIFS(Table16[ประเภท],E180,Table16[ฝ่าย],A188,Table16[สัปดาห์แจ้งซ่อม],"1"))</f>
        <v>-</v>
      </c>
      <c r="F188" s="162" t="str">
        <f>IF(COUNTIFS(Table16[ประเภท],F180,Table16[ฝ่าย],A188,Table16[สัปดาห์แจ้งซ่อม],"1")=0,"-",COUNTIFS(Table16[ประเภท],F180,Table16[ฝ่าย],A188,Table16[สัปดาห์แจ้งซ่อม],"1"))</f>
        <v>-</v>
      </c>
      <c r="G188" s="162" t="str">
        <f>IF(COUNTIFS(Table16[ประเภท],G180,Table16[ฝ่าย],A188,Table16[สัปดาห์แจ้งซ่อม],"1")=0,"-",COUNTIFS(Table16[ประเภท],G180,Table16[ฝ่าย],A188,Table16[สัปดาห์แจ้งซ่อม],"1"))</f>
        <v>-</v>
      </c>
      <c r="H188" s="162" t="str">
        <f>IF(COUNTIFS(Table16[ประเภท],H180,Table16[ฝ่าย],A188,Table16[สัปดาห์แจ้งซ่อม],"1")=0,"-",COUNTIFS(Table16[ประเภท],H180,Table16[ฝ่าย],A188,Table16[สัปดาห์แจ้งซ่อม],"1"))</f>
        <v>-</v>
      </c>
      <c r="I188" s="162" t="str">
        <f>IF(COUNTIFS(Table16[ประเภท],I180,Table16[ฝ่าย],A188,Table16[สัปดาห์แจ้งซ่อม],"1")=0,"-",COUNTIFS(Table16[ประเภท],I180,Table16[ฝ่าย],A188,Table16[สัปดาห์แจ้งซ่อม],"1"))</f>
        <v>-</v>
      </c>
      <c r="J188" s="162">
        <f>IF(COUNTIFS(Table16[ประเภท],J180,Table16[ฝ่าย],A188,Table16[สัปดาห์แจ้งซ่อม],"1")=0,"-",COUNTIFS(Table16[ประเภท],J180,Table16[ฝ่าย],A188,Table16[สัปดาห์แจ้งซ่อม],"1"))</f>
        <v>1</v>
      </c>
      <c r="K188" s="162" t="str">
        <f>IF(COUNTIFS(Table16[ประเภท],K180,Table16[ฝ่าย],A188,Table16[สัปดาห์แจ้งซ่อม],"1")=0,"-",COUNTIFS(Table16[ประเภท],K180,Table16[ฝ่าย],A188,Table16[สัปดาห์แจ้งซ่อม],"1"))</f>
        <v>-</v>
      </c>
      <c r="L188" s="162" t="str">
        <f>IF(COUNTIFS(Table16[ประเภท],L180,Table16[ฝ่าย],A188,Table16[สัปดาห์แจ้งซ่อม],"1")=0,"-",COUNTIFS(Table16[ประเภท],L180,Table16[ฝ่าย],A188,Table16[สัปดาห์แจ้งซ่อม],"1"))</f>
        <v>-</v>
      </c>
      <c r="M188" s="162" t="str">
        <f>IF(COUNTIFS(Table16[ประเภท],M180,Table16[ฝ่าย],A188,Table16[สัปดาห์แจ้งซ่อม],"1")=0,"-",COUNTIFS(Table16[ประเภท],M180,Table16[ฝ่าย],A188,Table16[สัปดาห์แจ้งซ่อม],"1"))</f>
        <v>-</v>
      </c>
      <c r="N188" s="162" t="str">
        <f>IF(COUNTIFS(Table16[ประเภท],N180,Table16[ฝ่าย],A188,Table16[สัปดาห์แจ้งซ่อม],"1")=0,"-",COUNTIFS(Table16[ประเภท],N180,Table16[ฝ่าย],A188,Table16[สัปดาห์แจ้งซ่อม],"1"))</f>
        <v>-</v>
      </c>
      <c r="O188" s="162"/>
      <c r="P188" s="190" t="str">
        <f>IF(COUNTIFS(Table16[ประเภท],P180,Table16[ฝ่าย],A188,Table16[สัปดาห์แจ้งซ่อม],"1")=0,"-",COUNTIFS(Table16[ประเภท],P180,Table16[ฝ่าย],A188,Table16[สัปดาห์แจ้งซ่อม],"1"))</f>
        <v>-</v>
      </c>
    </row>
    <row r="189" spans="1:16" ht="15" thickBot="1">
      <c r="A189" s="47" t="s">
        <v>62</v>
      </c>
      <c r="B189" s="48">
        <f>COUNTIFS(Table18[ฝ่าย],A189,Table18[สัปดาห์แจ้งซ่อม],1)</f>
        <v>0</v>
      </c>
      <c r="C189" s="49">
        <f>B189/B195</f>
        <v>0</v>
      </c>
      <c r="D189" s="162" t="str">
        <f>IF(COUNTIFS(Table18[ประเภท],D180,Table18[ฝ่าย],A189,Table18[สัปดาห์แจ้งซ่อม],"1")=0,"-",COUNTIFS(Table18[ประเภท],D180,Table18[ฝ่าย],A189,Table18[สัปดาห์แจ้งซ่อม],"1"))</f>
        <v>-</v>
      </c>
      <c r="E189" s="162" t="str">
        <f>IF(COUNTIFS(Table16[ประเภท],E180,Table16[ฝ่าย],A189,Table16[สัปดาห์แจ้งซ่อม],"1")=0,"-",COUNTIFS(Table16[ประเภท],E180,Table16[ฝ่าย],A189,Table16[สัปดาห์แจ้งซ่อม],"1"))</f>
        <v>-</v>
      </c>
      <c r="F189" s="162" t="str">
        <f>IF(COUNTIFS(Table16[ประเภท],F180,Table16[ฝ่าย],A189,Table16[สัปดาห์แจ้งซ่อม],"1")=0,"-",COUNTIFS(Table16[ประเภท],F180,Table16[ฝ่าย],A189,Table16[สัปดาห์แจ้งซ่อม],"1"))</f>
        <v>-</v>
      </c>
      <c r="G189" s="162" t="str">
        <f>IF(COUNTIFS(Table16[ประเภท],G180,Table16[ฝ่าย],A189,Table16[สัปดาห์แจ้งซ่อม],"1")=0,"-",COUNTIFS(Table16[ประเภท],G180,Table16[ฝ่าย],A189,Table16[สัปดาห์แจ้งซ่อม],"1"))</f>
        <v>-</v>
      </c>
      <c r="H189" s="162" t="str">
        <f>IF(COUNTIFS(Table16[ประเภท],H180,Table16[ฝ่าย],A189,Table16[สัปดาห์แจ้งซ่อม],"1")=0,"-",COUNTIFS(Table16[ประเภท],H180,Table16[ฝ่าย],A189,Table16[สัปดาห์แจ้งซ่อม],"1"))</f>
        <v>-</v>
      </c>
      <c r="I189" s="162" t="str">
        <f>IF(COUNTIFS(Table16[ประเภท],I180,Table16[ฝ่าย],A189,Table16[สัปดาห์แจ้งซ่อม],"1")=0,"-",COUNTIFS(Table16[ประเภท],I180,Table16[ฝ่าย],A189,Table16[สัปดาห์แจ้งซ่อม],"1"))</f>
        <v>-</v>
      </c>
      <c r="J189" s="162" t="str">
        <f>IF(COUNTIFS(Table16[ประเภท],J180,Table16[ฝ่าย],A189,Table16[สัปดาห์แจ้งซ่อม],"1")=0,"-",COUNTIFS(Table16[ประเภท],J180,Table16[ฝ่าย],A189,Table16[สัปดาห์แจ้งซ่อม],"1"))</f>
        <v>-</v>
      </c>
      <c r="K189" s="162" t="str">
        <f>IF(COUNTIFS(Table16[ประเภท],K180,Table16[ฝ่าย],A189,Table16[สัปดาห์แจ้งซ่อม],"1")=0,"-",COUNTIFS(Table16[ประเภท],K180,Table16[ฝ่าย],A189,Table16[สัปดาห์แจ้งซ่อม],"1"))</f>
        <v>-</v>
      </c>
      <c r="L189" s="162" t="str">
        <f>IF(COUNTIFS(Table16[ประเภท],L180,Table16[ฝ่าย],A189,Table16[สัปดาห์แจ้งซ่อม],"1")=0,"-",COUNTIFS(Table16[ประเภท],L180,Table16[ฝ่าย],A189,Table16[สัปดาห์แจ้งซ่อม],"1"))</f>
        <v>-</v>
      </c>
      <c r="M189" s="162" t="str">
        <f>IF(COUNTIFS(Table16[ประเภท],M180,Table16[ฝ่าย],A189,Table16[สัปดาห์แจ้งซ่อม],"1")=0,"-",COUNTIFS(Table16[ประเภท],M180,Table16[ฝ่าย],A189,Table16[สัปดาห์แจ้งซ่อม],"1"))</f>
        <v>-</v>
      </c>
      <c r="N189" s="162" t="str">
        <f>IF(COUNTIFS(Table16[ประเภท],N180,Table16[ฝ่าย],A189,Table16[สัปดาห์แจ้งซ่อม],"1")=0,"-",COUNTIFS(Table16[ประเภท],N180,Table16[ฝ่าย],A189,Table16[สัปดาห์แจ้งซ่อม],"1"))</f>
        <v>-</v>
      </c>
      <c r="O189" s="162"/>
      <c r="P189" s="190" t="str">
        <f>IF(COUNTIFS(Table16[ประเภท],P180,Table16[ฝ่าย],A189,Table16[สัปดาห์แจ้งซ่อม],"1")=0,"-",COUNTIFS(Table16[ประเภท],P180,Table16[ฝ่าย],A189,Table16[สัปดาห์แจ้งซ่อม],"1"))</f>
        <v>-</v>
      </c>
    </row>
    <row r="190" spans="1:16" ht="15" thickBot="1">
      <c r="A190" s="47" t="s">
        <v>63</v>
      </c>
      <c r="B190" s="48">
        <f>COUNTIFS(Table18[ฝ่าย],A190,Table18[สัปดาห์แจ้งซ่อม],1)</f>
        <v>0</v>
      </c>
      <c r="C190" s="50">
        <f>B190/B195</f>
        <v>0</v>
      </c>
      <c r="D190" s="162" t="str">
        <f>IF(COUNTIFS(Table18[ประเภท],D180,Table18[ฝ่าย],A190,Table18[สัปดาห์แจ้งซ่อม],"1")=0,"-",COUNTIFS(Table18[ประเภท],D180,Table18[ฝ่าย],A190,Table18[สัปดาห์แจ้งซ่อม],"1"))</f>
        <v>-</v>
      </c>
      <c r="E190" s="162" t="str">
        <f>IF(COUNTIFS(Table16[ประเภท],E180,Table16[ฝ่าย],A190,Table16[สัปดาห์แจ้งซ่อม],"1")=0,"-",COUNTIFS(Table16[ประเภท],E180,Table16[ฝ่าย],A190,Table16[สัปดาห์แจ้งซ่อม],"1"))</f>
        <v>-</v>
      </c>
      <c r="F190" s="162" t="str">
        <f>IF(COUNTIFS(Table16[ประเภท],F180,Table16[ฝ่าย],A190,Table16[สัปดาห์แจ้งซ่อม],"1")=0,"-",COUNTIFS(Table16[ประเภท],F180,Table16[ฝ่าย],A190,Table16[สัปดาห์แจ้งซ่อม],"1"))</f>
        <v>-</v>
      </c>
      <c r="G190" s="162" t="str">
        <f>IF(COUNTIFS(Table16[ประเภท],G180,Table16[ฝ่าย],A190,Table16[สัปดาห์แจ้งซ่อม],"1")=0,"-",COUNTIFS(Table16[ประเภท],G180,Table16[ฝ่าย],A190,Table16[สัปดาห์แจ้งซ่อม],"1"))</f>
        <v>-</v>
      </c>
      <c r="H190" s="162" t="str">
        <f>IF(COUNTIFS(Table16[ประเภท],H180,Table16[ฝ่าย],A190,Table16[สัปดาห์แจ้งซ่อม],"1")=0,"-",COUNTIFS(Table16[ประเภท],H180,Table16[ฝ่าย],A190,Table16[สัปดาห์แจ้งซ่อม],"1"))</f>
        <v>-</v>
      </c>
      <c r="I190" s="162" t="str">
        <f>IF(COUNTIFS(Table16[ประเภท],I180,Table16[ฝ่าย],A190,Table16[สัปดาห์แจ้งซ่อม],"1")=0,"-",COUNTIFS(Table16[ประเภท],I180,Table16[ฝ่าย],A190,Table16[สัปดาห์แจ้งซ่อม],"1"))</f>
        <v>-</v>
      </c>
      <c r="J190" s="162" t="str">
        <f>IF(COUNTIFS(Table16[ประเภท],J180,Table16[ฝ่าย],A190,Table16[สัปดาห์แจ้งซ่อม],"1")=0,"-",COUNTIFS(Table16[ประเภท],J180,Table16[ฝ่าย],A190,Table16[สัปดาห์แจ้งซ่อม],"1"))</f>
        <v>-</v>
      </c>
      <c r="K190" s="162" t="str">
        <f>IF(COUNTIFS(Table16[ประเภท],K180,Table16[ฝ่าย],A190,Table16[สัปดาห์แจ้งซ่อม],"1")=0,"-",COUNTIFS(Table16[ประเภท],K180,Table16[ฝ่าย],A190,Table16[สัปดาห์แจ้งซ่อม],"1"))</f>
        <v>-</v>
      </c>
      <c r="L190" s="162" t="str">
        <f>IF(COUNTIFS(Table16[ประเภท],L180,Table16[ฝ่าย],A190,Table16[สัปดาห์แจ้งซ่อม],"1")=0,"-",COUNTIFS(Table16[ประเภท],L180,Table16[ฝ่าย],A190,Table16[สัปดาห์แจ้งซ่อม],"1"))</f>
        <v>-</v>
      </c>
      <c r="M190" s="162" t="str">
        <f>IF(COUNTIFS(Table16[ประเภท],M180,Table16[ฝ่าย],A190,Table16[สัปดาห์แจ้งซ่อม],"1")=0,"-",COUNTIFS(Table16[ประเภท],M180,Table16[ฝ่าย],A190,Table16[สัปดาห์แจ้งซ่อม],"1"))</f>
        <v>-</v>
      </c>
      <c r="N190" s="162" t="str">
        <f>IF(COUNTIFS(Table16[ประเภท],N180,Table16[ฝ่าย],A190,Table16[สัปดาห์แจ้งซ่อม],"1")=0,"-",COUNTIFS(Table16[ประเภท],N180,Table16[ฝ่าย],A190,Table16[สัปดาห์แจ้งซ่อม],"1"))</f>
        <v>-</v>
      </c>
      <c r="O190" s="162"/>
      <c r="P190" s="190" t="str">
        <f>IF(COUNTIFS(Table16[ประเภท],P180,Table16[ฝ่าย],A190,Table16[สัปดาห์แจ้งซ่อม],"1")=0,"-",COUNTIFS(Table16[ประเภท],P180,Table16[ฝ่าย],A190,Table16[สัปดาห์แจ้งซ่อม],"1"))</f>
        <v>-</v>
      </c>
    </row>
    <row r="191" spans="1:16" ht="15" thickBot="1">
      <c r="A191" s="47" t="s">
        <v>64</v>
      </c>
      <c r="B191" s="48">
        <f>COUNTIFS(Table18[ฝ่าย],A191,Table18[สัปดาห์แจ้งซ่อม],1)</f>
        <v>0</v>
      </c>
      <c r="C191" s="50">
        <f>B191/B195</f>
        <v>0</v>
      </c>
      <c r="D191" s="162" t="str">
        <f>IF(COUNTIFS(Table18[ประเภท],D180,Table18[ฝ่าย],A191,Table18[สัปดาห์แจ้งซ่อม],"1")=0,"-",COUNTIFS(Table18[ประเภท],D180,Table18[ฝ่าย],A191,Table18[สัปดาห์แจ้งซ่อม],"1"))</f>
        <v>-</v>
      </c>
      <c r="E191" s="162" t="str">
        <f>IF(COUNTIFS(Table16[ประเภท],E180,Table16[ฝ่าย],A191,Table16[สัปดาห์แจ้งซ่อม],"1")=0,"-",COUNTIFS(Table16[ประเภท],E180,Table16[ฝ่าย],A191,Table16[สัปดาห์แจ้งซ่อม],"1"))</f>
        <v>-</v>
      </c>
      <c r="F191" s="162" t="str">
        <f>IF(COUNTIFS(Table16[ประเภท],F180,Table16[ฝ่าย],A191,Table16[สัปดาห์แจ้งซ่อม],"1")=0,"-",COUNTIFS(Table16[ประเภท],F180,Table16[ฝ่าย],A191,Table16[สัปดาห์แจ้งซ่อม],"1"))</f>
        <v>-</v>
      </c>
      <c r="G191" s="162" t="str">
        <f>IF(COUNTIFS(Table16[ประเภท],G180,Table16[ฝ่าย],A191,Table16[สัปดาห์แจ้งซ่อม],"1")=0,"-",COUNTIFS(Table16[ประเภท],G180,Table16[ฝ่าย],A191,Table16[สัปดาห์แจ้งซ่อม],"1"))</f>
        <v>-</v>
      </c>
      <c r="H191" s="162" t="str">
        <f>IF(COUNTIFS(Table16[ประเภท],H180,Table16[ฝ่าย],A191,Table16[สัปดาห์แจ้งซ่อม],"1")=0,"-",COUNTIFS(Table16[ประเภท],H180,Table16[ฝ่าย],A191,Table16[สัปดาห์แจ้งซ่อม],"1"))</f>
        <v>-</v>
      </c>
      <c r="I191" s="162" t="str">
        <f>IF(COUNTIFS(Table16[ประเภท],I180,Table16[ฝ่าย],A191,Table16[สัปดาห์แจ้งซ่อม],"1")=0,"-",COUNTIFS(Table16[ประเภท],I180,Table16[ฝ่าย],A191,Table16[สัปดาห์แจ้งซ่อม],"1"))</f>
        <v>-</v>
      </c>
      <c r="J191" s="162" t="str">
        <f>IF(COUNTIFS(Table16[ประเภท],J180,Table16[ฝ่าย],A191,Table16[สัปดาห์แจ้งซ่อม],"1")=0,"-",COUNTIFS(Table16[ประเภท],J180,Table16[ฝ่าย],A191,Table16[สัปดาห์แจ้งซ่อม],"1"))</f>
        <v>-</v>
      </c>
      <c r="K191" s="162" t="str">
        <f>IF(COUNTIFS(Table16[ประเภท],K180,Table16[ฝ่าย],A191,Table16[สัปดาห์แจ้งซ่อม],"1")=0,"-",COUNTIFS(Table16[ประเภท],K180,Table16[ฝ่าย],A191,Table16[สัปดาห์แจ้งซ่อม],"1"))</f>
        <v>-</v>
      </c>
      <c r="L191" s="162" t="str">
        <f>IF(COUNTIFS(Table16[ประเภท],L180,Table16[ฝ่าย],A191,Table16[สัปดาห์แจ้งซ่อม],"1")=0,"-",COUNTIFS(Table16[ประเภท],L180,Table16[ฝ่าย],A191,Table16[สัปดาห์แจ้งซ่อม],"1"))</f>
        <v>-</v>
      </c>
      <c r="M191" s="162" t="str">
        <f>IF(COUNTIFS(Table16[ประเภท],M180,Table16[ฝ่าย],A191,Table16[สัปดาห์แจ้งซ่อม],"1")=0,"-",COUNTIFS(Table16[ประเภท],M180,Table16[ฝ่าย],A191,Table16[สัปดาห์แจ้งซ่อม],"1"))</f>
        <v>-</v>
      </c>
      <c r="N191" s="162" t="str">
        <f>IF(COUNTIFS(Table16[ประเภท],N180,Table16[ฝ่าย],A191,Table16[สัปดาห์แจ้งซ่อม],"1")=0,"-",COUNTIFS(Table16[ประเภท],N180,Table16[ฝ่าย],A191,Table16[สัปดาห์แจ้งซ่อม],"1"))</f>
        <v>-</v>
      </c>
      <c r="O191" s="162"/>
      <c r="P191" s="190" t="str">
        <f>IF(COUNTIFS(Table16[ประเภท],P180,Table16[ฝ่าย],A191,Table16[สัปดาห์แจ้งซ่อม],"1")=0,"-",COUNTIFS(Table16[ประเภท],P180,Table16[ฝ่าย],A191,Table16[สัปดาห์แจ้งซ่อม],"1"))</f>
        <v>-</v>
      </c>
    </row>
    <row r="192" spans="1:16" ht="15" thickBot="1">
      <c r="A192" s="47" t="s">
        <v>65</v>
      </c>
      <c r="B192" s="48">
        <f>COUNTIFS(Table18[ฝ่าย],A192,Table18[สัปดาห์แจ้งซ่อม],1)</f>
        <v>0</v>
      </c>
      <c r="C192" s="50">
        <f>B192/B195</f>
        <v>0</v>
      </c>
      <c r="D192" s="162" t="str">
        <f>IF(COUNTIFS(Table18[ประเภท],D180,Table18[ฝ่าย],A192,Table18[สัปดาห์แจ้งซ่อม],"1")=0,"-",COUNTIFS(Table18[ประเภท],D180,Table18[ฝ่าย],A192,Table18[สัปดาห์แจ้งซ่อม],"1"))</f>
        <v>-</v>
      </c>
      <c r="E192" s="162" t="str">
        <f>IF(COUNTIFS(Table16[ประเภท],E180,Table16[ฝ่าย],A192,Table16[สัปดาห์แจ้งซ่อม],"1")=0,"-",COUNTIFS(Table16[ประเภท],E180,Table16[ฝ่าย],A192,Table16[สัปดาห์แจ้งซ่อม],"1"))</f>
        <v>-</v>
      </c>
      <c r="F192" s="162" t="str">
        <f>IF(COUNTIFS(Table16[ประเภท],F180,Table16[ฝ่าย],A192,Table16[สัปดาห์แจ้งซ่อม],"1")=0,"-",COUNTIFS(Table16[ประเภท],F180,Table16[ฝ่าย],A192,Table16[สัปดาห์แจ้งซ่อม],"1"))</f>
        <v>-</v>
      </c>
      <c r="G192" s="162" t="str">
        <f>IF(COUNTIFS(Table16[ประเภท],G180,Table16[ฝ่าย],A192,Table16[สัปดาห์แจ้งซ่อม],"1")=0,"-",COUNTIFS(Table16[ประเภท],G180,Table16[ฝ่าย],A192,Table16[สัปดาห์แจ้งซ่อม],"1"))</f>
        <v>-</v>
      </c>
      <c r="H192" s="162" t="str">
        <f>IF(COUNTIFS(Table16[ประเภท],H180,Table16[ฝ่าย],A192,Table16[สัปดาห์แจ้งซ่อม],"1")=0,"-",COUNTIFS(Table16[ประเภท],H180,Table16[ฝ่าย],A192,Table16[สัปดาห์แจ้งซ่อม],"1"))</f>
        <v>-</v>
      </c>
      <c r="I192" s="162" t="str">
        <f>IF(COUNTIFS(Table16[ประเภท],I180,Table16[ฝ่าย],A192,Table16[สัปดาห์แจ้งซ่อม],"1")=0,"-",COUNTIFS(Table16[ประเภท],I180,Table16[ฝ่าย],A192,Table16[สัปดาห์แจ้งซ่อม],"1"))</f>
        <v>-</v>
      </c>
      <c r="J192" s="162" t="str">
        <f>IF(COUNTIFS(Table16[ประเภท],J180,Table16[ฝ่าย],A192,Table16[สัปดาห์แจ้งซ่อม],"1")=0,"-",COUNTIFS(Table16[ประเภท],J180,Table16[ฝ่าย],A192,Table16[สัปดาห์แจ้งซ่อม],"1"))</f>
        <v>-</v>
      </c>
      <c r="K192" s="162" t="str">
        <f>IF(COUNTIFS(Table16[ประเภท],K180,Table16[ฝ่าย],A192,Table16[สัปดาห์แจ้งซ่อม],"1")=0,"-",COUNTIFS(Table16[ประเภท],K180,Table16[ฝ่าย],A192,Table16[สัปดาห์แจ้งซ่อม],"1"))</f>
        <v>-</v>
      </c>
      <c r="L192" s="162" t="str">
        <f>IF(COUNTIFS(Table16[ประเภท],L180,Table16[ฝ่าย],A192,Table16[สัปดาห์แจ้งซ่อม],"1")=0,"-",COUNTIFS(Table16[ประเภท],L180,Table16[ฝ่าย],A192,Table16[สัปดาห์แจ้งซ่อม],"1"))</f>
        <v>-</v>
      </c>
      <c r="M192" s="162" t="str">
        <f>IF(COUNTIFS(Table16[ประเภท],M180,Table16[ฝ่าย],A192,Table16[สัปดาห์แจ้งซ่อม],"1")=0,"-",COUNTIFS(Table16[ประเภท],M180,Table16[ฝ่าย],A192,Table16[สัปดาห์แจ้งซ่อม],"1"))</f>
        <v>-</v>
      </c>
      <c r="N192" s="162" t="str">
        <f>IF(COUNTIFS(Table16[ประเภท],N180,Table16[ฝ่าย],A192,Table16[สัปดาห์แจ้งซ่อม],"1")=0,"-",COUNTIFS(Table16[ประเภท],N180,Table16[ฝ่าย],A192,Table16[สัปดาห์แจ้งซ่อม],"1"))</f>
        <v>-</v>
      </c>
      <c r="O192" s="162"/>
      <c r="P192" s="190" t="str">
        <f>IF(COUNTIFS(Table16[ประเภท],P180,Table16[ฝ่าย],A192,Table16[สัปดาห์แจ้งซ่อม],"1")=0,"-",COUNTIFS(Table16[ประเภท],P180,Table16[ฝ่าย],A192,Table16[สัปดาห์แจ้งซ่อม],"1"))</f>
        <v>-</v>
      </c>
    </row>
    <row r="193" spans="1:16" ht="15" thickBot="1">
      <c r="A193" s="47" t="s">
        <v>66</v>
      </c>
      <c r="B193" s="48">
        <f>COUNTIFS(Table18[ฝ่าย],A193,Table18[สัปดาห์แจ้งซ่อม],1)</f>
        <v>0</v>
      </c>
      <c r="C193" s="50">
        <f>B193/B195</f>
        <v>0</v>
      </c>
      <c r="D193" s="162" t="str">
        <f>IF(COUNTIFS(Table18[ประเภท],D180,Table18[ฝ่าย],A193,Table18[สัปดาห์แจ้งซ่อม],"1")=0,"-",COUNTIFS(Table18[ประเภท],D180,Table18[ฝ่าย],A190,Table18[สัปดาห์แจ้งซ่อม],"1"))</f>
        <v>-</v>
      </c>
      <c r="E193" s="162" t="str">
        <f>IF(COUNTIFS(Table16[ประเภท],E180,Table16[ฝ่าย],A193,Table16[สัปดาห์แจ้งซ่อม],"1")=0,"-",COUNTIFS(Table16[ประเภท],E180,Table16[ฝ่าย],A190,Table16[สัปดาห์แจ้งซ่อม],"1"))</f>
        <v>-</v>
      </c>
      <c r="F193" s="162" t="str">
        <f>IF(COUNTIFS(Table16[ประเภท],F180,Table16[ฝ่าย],A193,Table16[สัปดาห์แจ้งซ่อม],"1")=0,"-",COUNTIFS(Table16[ประเภท],F180,Table16[ฝ่าย],A193,Table16[สัปดาห์แจ้งซ่อม],"1"))</f>
        <v>-</v>
      </c>
      <c r="G193" s="162" t="str">
        <f>IF(COUNTIFS(Table16[ประเภท],G180,Table16[ฝ่าย],A193,Table16[สัปดาห์แจ้งซ่อม],"1")=0,"-",COUNTIFS(Table16[ประเภท],G180,Table16[ฝ่าย],A193,Table16[สัปดาห์แจ้งซ่อม],"1"))</f>
        <v>-</v>
      </c>
      <c r="H193" s="162" t="str">
        <f>IF(COUNTIFS(Table16[ประเภท],H180,Table16[ฝ่าย],A193,Table16[สัปดาห์แจ้งซ่อม],"1")=0,"-",COUNTIFS(Table16[ประเภท],H180,Table16[ฝ่าย],A193,Table16[สัปดาห์แจ้งซ่อม],"1"))</f>
        <v>-</v>
      </c>
      <c r="I193" s="162" t="str">
        <f>IF(COUNTIFS(Table16[ประเภท],I180,Table16[ฝ่าย],A193,Table16[สัปดาห์แจ้งซ่อม],"1")=0,"-",COUNTIFS(Table16[ประเภท],I180,Table16[ฝ่าย],A193,Table16[สัปดาห์แจ้งซ่อม],"1"))</f>
        <v>-</v>
      </c>
      <c r="J193" s="162" t="str">
        <f>IF(COUNTIFS(Table16[ประเภท],J180,Table16[ฝ่าย],A193,Table16[สัปดาห์แจ้งซ่อม],"1")=0,"-",COUNTIFS(Table16[ประเภท],J180,Table16[ฝ่าย],A193,Table16[สัปดาห์แจ้งซ่อม],"1"))</f>
        <v>-</v>
      </c>
      <c r="K193" s="162" t="str">
        <f>IF(COUNTIFS(Table16[ประเภท],K180,Table16[ฝ่าย],A193,Table16[สัปดาห์แจ้งซ่อม],"1")=0,"-",COUNTIFS(Table16[ประเภท],K180,Table16[ฝ่าย],A193,Table16[สัปดาห์แจ้งซ่อม],"1"))</f>
        <v>-</v>
      </c>
      <c r="L193" s="162" t="str">
        <f>IF(COUNTIFS(Table16[ประเภท],L180,Table16[ฝ่าย],A193,Table16[สัปดาห์แจ้งซ่อม],"1")=0,"-",COUNTIFS(Table16[ประเภท],L180,Table16[ฝ่าย],A193,Table16[สัปดาห์แจ้งซ่อม],"1"))</f>
        <v>-</v>
      </c>
      <c r="M193" s="162" t="str">
        <f>IF(COUNTIFS(Table16[ประเภท],M180,Table16[ฝ่าย],A193,Table16[สัปดาห์แจ้งซ่อม],"1")=0,"-",COUNTIFS(Table16[ประเภท],M180,Table16[ฝ่าย],A193,Table16[สัปดาห์แจ้งซ่อม],"1"))</f>
        <v>-</v>
      </c>
      <c r="N193" s="162" t="str">
        <f>IF(COUNTIFS(Table16[ประเภท],N180,Table16[ฝ่าย],A193,Table16[สัปดาห์แจ้งซ่อม],"1")=0,"-",COUNTIFS(Table16[ประเภท],N180,Table16[ฝ่าย],A193,Table16[สัปดาห์แจ้งซ่อม],"1"))</f>
        <v>-</v>
      </c>
      <c r="O193" s="162"/>
      <c r="P193" s="190" t="str">
        <f>IF(COUNTIFS(Table16[ประเภท],P180,Table16[ฝ่าย],A193,Table16[สัปดาห์แจ้งซ่อม],"1")=0,"-",COUNTIFS(Table16[ประเภท],P180,Table16[ฝ่าย],A193,Table16[สัปดาห์แจ้งซ่อม],"1"))</f>
        <v>-</v>
      </c>
    </row>
    <row r="194" spans="1:16" ht="15" thickBot="1">
      <c r="A194" s="47" t="s">
        <v>120</v>
      </c>
      <c r="B194" s="48">
        <f>COUNTIFS(Table18[ฝ่าย],A194,Table18[สัปดาห์แจ้งซ่อม],1)</f>
        <v>0</v>
      </c>
      <c r="C194" s="50">
        <f>B194/B196</f>
        <v>0</v>
      </c>
      <c r="D194" s="162" t="str">
        <f>IF(COUNTIFS(Table18[ประเภท],D180,Table18[ฝ่าย],A194,Table18[สัปดาห์แจ้งซ่อม],"1")=0,"-",COUNTIFS(Table18[ประเภท],D180,Table18[ฝ่าย],A194,Table18[สัปดาห์แจ้งซ่อม],"1"))</f>
        <v>-</v>
      </c>
      <c r="E194" s="162" t="str">
        <f>IF(COUNTIFS(Table16[ประเภท],E180,Table16[ฝ่าย],A194,Table16[สัปดาห์แจ้งซ่อม],"1")=0,"-",COUNTIFS(Table16[ประเภท],E180,Table16[ฝ่าย],A194,Table16[สัปดาห์แจ้งซ่อม],"1"))</f>
        <v>-</v>
      </c>
      <c r="F194" s="162">
        <f>IF(COUNTIFS(Table16[ประเภท],F180,Table16[ฝ่าย],A194,Table16[สัปดาห์แจ้งซ่อม],"1")=0,"-",COUNTIFS(Table16[ประเภท],F180,Table16[ฝ่าย],A194,Table16[สัปดาห์แจ้งซ่อม],"1"))</f>
        <v>1</v>
      </c>
      <c r="G194" s="162" t="str">
        <f>IF(COUNTIFS(Table16[ประเภท],G180,Table16[ฝ่าย],A194,Table16[สัปดาห์แจ้งซ่อม],"1")=0,"-",COUNTIFS(Table16[ประเภท],G180,Table16[ฝ่าย],A194,Table16[สัปดาห์แจ้งซ่อม],"1"))</f>
        <v>-</v>
      </c>
      <c r="H194" s="162">
        <f>IF(COUNTIFS(Table16[ประเภท],H180,Table16[ฝ่าย],A194,Table16[สัปดาห์แจ้งซ่อม],"1")=0,"-",COUNTIFS(Table16[ประเภท],H180,Table16[ฝ่าย],A194,Table16[สัปดาห์แจ้งซ่อม],"1"))</f>
        <v>5</v>
      </c>
      <c r="I194" s="162" t="str">
        <f>IF(COUNTIFS(Table16[ประเภท],I180,Table16[ฝ่าย],A194,Table16[สัปดาห์แจ้งซ่อม],"1")=0,"-",COUNTIFS(Table16[ประเภท],I180,Table16[ฝ่าย],A194,Table16[สัปดาห์แจ้งซ่อม],"1"))</f>
        <v>-</v>
      </c>
      <c r="J194" s="162" t="str">
        <f>IF(COUNTIFS(Table16[ประเภท],J180,Table16[ฝ่าย],A194,Table16[สัปดาห์แจ้งซ่อม],"1")=0,"-",COUNTIFS(Table16[ประเภท],J180,Table16[ฝ่าย],A194,Table16[สัปดาห์แจ้งซ่อม],"1"))</f>
        <v>-</v>
      </c>
      <c r="K194" s="162" t="str">
        <f>IF(COUNTIFS(Table16[ประเภท],K180,Table16[ฝ่าย],A194,Table16[สัปดาห์แจ้งซ่อม],"1")=0,"-",COUNTIFS(Table16[ประเภท],K180,Table16[ฝ่าย],A194,Table16[สัปดาห์แจ้งซ่อม],"1"))</f>
        <v>-</v>
      </c>
      <c r="L194" s="162" t="str">
        <f>IF(COUNTIFS(Table16[ประเภท],L180,Table16[ฝ่าย],A194,Table16[สัปดาห์แจ้งซ่อม],"1")=0,"-",COUNTIFS(Table16[ประเภท],L180,Table16[ฝ่าย],A194,Table16[สัปดาห์แจ้งซ่อม],"1"))</f>
        <v>-</v>
      </c>
      <c r="M194" s="162" t="str">
        <f>IF(COUNTIFS(Table16[ประเภท],M180,Table16[ฝ่าย],A194,Table16[สัปดาห์แจ้งซ่อม],"1")=0,"-",COUNTIFS(Table16[ประเภท],M180,Table16[ฝ่าย],A194,Table16[สัปดาห์แจ้งซ่อม],"1"))</f>
        <v>-</v>
      </c>
      <c r="N194" s="162">
        <f>IF(COUNTIFS(Table16[ประเภท],N180,Table16[ฝ่าย],A194,Table16[สัปดาห์แจ้งซ่อม],"1")=0,"-",COUNTIFS(Table16[ประเภท],N180,Table16[ฝ่าย],A194,Table16[สัปดาห์แจ้งซ่อม],"1"))</f>
        <v>2</v>
      </c>
      <c r="O194" s="162"/>
      <c r="P194" s="190" t="str">
        <f>IF(COUNTIFS(Table16[ประเภท],P180,Table16[ฝ่าย],A194,Table16[สัปดาห์แจ้งซ่อม],"1")=0,"-",COUNTIFS(Table16[ประเภท],P180,Table16[ฝ่าย],A194,Table16[สัปดาห์แจ้งซ่อม],"1"))</f>
        <v>-</v>
      </c>
    </row>
    <row r="195" spans="1:16" ht="15" thickBot="1">
      <c r="A195" s="51" t="s">
        <v>67</v>
      </c>
      <c r="B195" s="52">
        <f>SUM(B181:B194)</f>
        <v>10</v>
      </c>
      <c r="C195" s="53">
        <f t="shared" ref="C195" si="13">SUM(C181:C193)</f>
        <v>1</v>
      </c>
      <c r="D195" s="163">
        <f>SUM(D181:D194)</f>
        <v>1</v>
      </c>
      <c r="E195" s="163">
        <f t="shared" ref="E195:P195" si="14">SUM(E181:E194)</f>
        <v>6</v>
      </c>
      <c r="F195" s="163">
        <f t="shared" si="14"/>
        <v>4</v>
      </c>
      <c r="G195" s="163">
        <f t="shared" si="14"/>
        <v>0</v>
      </c>
      <c r="H195" s="163">
        <f t="shared" si="14"/>
        <v>10</v>
      </c>
      <c r="I195" s="163">
        <f t="shared" si="14"/>
        <v>1</v>
      </c>
      <c r="J195" s="163">
        <f t="shared" si="14"/>
        <v>5</v>
      </c>
      <c r="K195" s="163">
        <f t="shared" si="14"/>
        <v>12</v>
      </c>
      <c r="L195" s="163">
        <f t="shared" si="14"/>
        <v>1</v>
      </c>
      <c r="M195" s="163">
        <f t="shared" si="14"/>
        <v>2</v>
      </c>
      <c r="N195" s="163">
        <f t="shared" si="14"/>
        <v>5</v>
      </c>
      <c r="O195" s="163">
        <f t="shared" si="14"/>
        <v>2</v>
      </c>
      <c r="P195" s="163">
        <f t="shared" si="14"/>
        <v>4</v>
      </c>
    </row>
    <row r="196" spans="1:16" ht="15" thickBot="1">
      <c r="A196" s="54" t="s">
        <v>68</v>
      </c>
      <c r="B196" s="55">
        <f>COUNTIFS(Table16[สถานะ],"เรียบร้อย",Table16[สัปดาห์ที่แก้ไข],1)</f>
        <v>10</v>
      </c>
      <c r="C196" s="56"/>
      <c r="D196" s="2"/>
      <c r="E196" s="2"/>
      <c r="F196" s="2"/>
      <c r="G196" s="2"/>
      <c r="H196" s="2"/>
      <c r="I196" s="2"/>
      <c r="J196" s="2"/>
      <c r="K196" s="2"/>
      <c r="L196" s="2"/>
    </row>
    <row r="197" spans="1:16" ht="15" thickBot="1">
      <c r="A197" s="57" t="s">
        <v>69</v>
      </c>
      <c r="B197" s="58">
        <f>COUNTIFS(Table16[สถานะ],"กำลังดำเนินการ",Table16[สัปดาห์แจ้งซ่อม],1)</f>
        <v>0</v>
      </c>
      <c r="C197" s="56"/>
      <c r="D197" s="2"/>
      <c r="E197" s="2"/>
      <c r="F197" s="2"/>
      <c r="G197" s="2"/>
      <c r="H197" s="2"/>
      <c r="I197" s="2"/>
      <c r="J197" s="2"/>
      <c r="K197" s="2"/>
      <c r="L197" s="2"/>
    </row>
    <row r="198" spans="1:16" ht="15" thickBot="1">
      <c r="A198" s="59" t="s">
        <v>3</v>
      </c>
      <c r="B198" s="60">
        <f>COUNTIFS(Table16[สถานะ],"รอดำเนินการ",Table16[สัปดาห์แจ้งซ่อม],1)</f>
        <v>0</v>
      </c>
      <c r="C198" s="56"/>
      <c r="D198" s="2"/>
      <c r="E198" s="2"/>
      <c r="F198" s="2"/>
      <c r="G198" s="2"/>
      <c r="H198" s="2"/>
      <c r="I198" s="2"/>
      <c r="J198" s="2"/>
      <c r="K198" s="2"/>
      <c r="L198" s="2"/>
    </row>
    <row r="199" spans="1:16" ht="16.2" thickBot="1">
      <c r="A199" s="61" t="s">
        <v>70</v>
      </c>
      <c r="B199" s="62">
        <f>COUNTIFS(Table16[สถานะ],"โอนย้าย",Table16[สัปดาห์แจ้งซ่อม],1)</f>
        <v>47</v>
      </c>
    </row>
    <row r="200" spans="1:16" ht="34.200000000000003" customHeight="1" thickBot="1">
      <c r="A200" s="302" t="s">
        <v>458</v>
      </c>
      <c r="B200" s="303"/>
      <c r="C200" s="303"/>
      <c r="D200" s="303"/>
      <c r="E200" s="303"/>
      <c r="F200" s="303"/>
      <c r="G200" s="303"/>
      <c r="H200" s="303"/>
      <c r="I200" s="303"/>
      <c r="J200" s="303"/>
      <c r="K200" s="303"/>
      <c r="L200" s="303"/>
      <c r="M200" s="303"/>
      <c r="N200" s="303"/>
      <c r="O200" s="303"/>
      <c r="P200" s="303"/>
    </row>
    <row r="201" spans="1:16" ht="18.600000000000001" thickBot="1">
      <c r="A201" s="304" t="s">
        <v>368</v>
      </c>
      <c r="B201" s="304" t="s">
        <v>42</v>
      </c>
      <c r="C201" s="306" t="s">
        <v>43</v>
      </c>
      <c r="D201" s="308" t="s">
        <v>44</v>
      </c>
      <c r="E201" s="309"/>
      <c r="F201" s="309"/>
      <c r="G201" s="309"/>
      <c r="H201" s="309"/>
      <c r="I201" s="309"/>
      <c r="J201" s="309"/>
      <c r="K201" s="309"/>
      <c r="L201" s="309"/>
      <c r="M201" s="309"/>
      <c r="N201" s="309"/>
      <c r="O201" s="309"/>
      <c r="P201" s="309"/>
    </row>
    <row r="202" spans="1:16" ht="15" thickBot="1">
      <c r="A202" s="305"/>
      <c r="B202" s="305"/>
      <c r="C202" s="307"/>
      <c r="D202" s="43" t="s">
        <v>45</v>
      </c>
      <c r="E202" s="43" t="s">
        <v>46</v>
      </c>
      <c r="F202" s="44" t="s">
        <v>47</v>
      </c>
      <c r="G202" s="44" t="s">
        <v>48</v>
      </c>
      <c r="H202" s="44" t="s">
        <v>49</v>
      </c>
      <c r="I202" s="44" t="s">
        <v>50</v>
      </c>
      <c r="J202" s="44" t="s">
        <v>51</v>
      </c>
      <c r="K202" s="44" t="s">
        <v>52</v>
      </c>
      <c r="L202" s="45" t="s">
        <v>53</v>
      </c>
      <c r="M202" s="46" t="s">
        <v>72</v>
      </c>
      <c r="N202" s="46" t="s">
        <v>117</v>
      </c>
      <c r="O202" s="189" t="s">
        <v>376</v>
      </c>
      <c r="P202" s="189" t="s">
        <v>357</v>
      </c>
    </row>
    <row r="203" spans="1:16" ht="15" thickBot="1">
      <c r="A203" s="47" t="s">
        <v>54</v>
      </c>
      <c r="B203" s="48">
        <f>COUNTIFS(Table16[ฝ่าย],A203,Table16[สัปดาห์แจ้งซ่อม],2)</f>
        <v>10</v>
      </c>
      <c r="C203" s="49">
        <f>B203/B217</f>
        <v>0.7142857142857143</v>
      </c>
      <c r="D203" s="44" t="str">
        <f>IF(COUNTIFS(Table16[ประเภท],D202,Table16[ฝ่าย],A203,Table16[สัปดาห์แจ้งซ่อม],"2")=0,"-",COUNTIFS(Table16[ประเภท],D202,Table16[ฝ่าย],A203,Table16[สัปดาห์แจ้งซ่อม],"2"))</f>
        <v>-</v>
      </c>
      <c r="E203" s="44">
        <f>IF(COUNTIFS(Table16[ประเภท],E202,Table16[ฝ่าย],A203,Table16[สัปดาห์แจ้งซ่อม],"2")=0,"-",COUNTIFS(Table16[ประเภท],E202,Table16[ฝ่าย],A203,Table16[สัปดาห์แจ้งซ่อม],"2"))</f>
        <v>1</v>
      </c>
      <c r="F203" s="44">
        <f>IF(COUNTIFS(Table16[ประเภท],F202,Table16[ฝ่าย],A203,Table16[สัปดาห์แจ้งซ่อม],"2")=0,"-",COUNTIFS(Table16[ประเภท],F202,Table16[ฝ่าย],A203,Table16[สัปดาห์แจ้งซ่อม],"2"))</f>
        <v>3</v>
      </c>
      <c r="G203" s="44">
        <f>IF(COUNTIFS(Table16[ประเภท],G202,Table16[ฝ่าย],A203,Table16[สัปดาห์แจ้งซ่อม],"2")=0,"-",COUNTIFS(Table16[ประเภท],G202,Table16[ฝ่าย],A203,Table16[สัปดาห์แจ้งซ่อม],"2"))</f>
        <v>1</v>
      </c>
      <c r="H203" s="44" t="str">
        <f>IF(COUNTIFS(Table16[ประเภท],H202,Table16[ฝ่าย],A203,Table16[สัปดาห์แจ้งซ่อม],"2")=0,"-",COUNTIFS(Table16[ประเภท],H202,Table16[ฝ่าย],A203,Table16[สัปดาห์แจ้งซ่อม],"2"))</f>
        <v>-</v>
      </c>
      <c r="I203" s="44" t="str">
        <f>IF(COUNTIFS(Table16[ประเภท],I202,Table16[ฝ่าย],A203,Table16[สัปดาห์แจ้งซ่อม],"2")=0,"-",COUNTIFS(Table16[ประเภท],I202,Table16[ฝ่าย],A203,Table16[สัปดาห์แจ้งซ่อม],"2"))</f>
        <v>-</v>
      </c>
      <c r="J203" s="44">
        <f>IF(COUNTIFS(Table16[ประเภท],J202,Table16[ฝ่าย],A203,Table16[สัปดาห์แจ้งซ่อม],"2")=0,"-",COUNTIFS(Table16[ประเภท],J202,Table16[ฝ่าย],A203,Table16[สัปดาห์แจ้งซ่อม],"2"))</f>
        <v>2</v>
      </c>
      <c r="K203" s="44">
        <f>IF(COUNTIFS(Table16[ประเภท],K202,Table16[ฝ่าย],A203,Table16[สัปดาห์แจ้งซ่อม],"2")=0,"-",COUNTIFS(Table16[ประเภท],K202,Table16[ฝ่าย],A203,Table16[สัปดาห์แจ้งซ่อม],"2"))</f>
        <v>2</v>
      </c>
      <c r="L203" s="44">
        <f>IF(COUNTIFS(Table16[ประเภท],L202,Table16[ฝ่าย],A203,Table16[สัปดาห์แจ้งซ่อม],"2")=0,"-",COUNTIFS(Table16[ประเภท],L202,Table16[ฝ่าย],A203,Table16[สัปดาห์แจ้งซ่อม],"2"))</f>
        <v>1</v>
      </c>
      <c r="M203" s="44" t="str">
        <f>IF(COUNTIFS(Table16[ประเภท],M202,Table16[ฝ่าย],A203,Table16[สัปดาห์แจ้งซ่อม],"2")=0,"-",COUNTIFS(Table16[ประเภท],M202,Table16[ฝ่าย],A203,Table16[สัปดาห์แจ้งซ่อม],"2"))</f>
        <v>-</v>
      </c>
      <c r="N203" s="44" t="str">
        <f>IF(COUNTIFS(Table16[ประเภท],N202,Table16[ฝ่าย],A203,Table16[สัปดาห์แจ้งซ่อม],"2")=0,"-",COUNTIFS(Table16[ประเภท],N202,Table16[ฝ่าย],A203,Table16[สัปดาห์แจ้งซ่อม],"2"))</f>
        <v>-</v>
      </c>
      <c r="O203" s="162" t="str">
        <f>IF(COUNTIFS(Table16[ประเภท],O202,Table16[ฝ่าย],A203,Table16[สัปดาห์แจ้งซ่อม],"2")=0,"-",COUNTIFS(Table16[ประเภท],O202,Table16[ฝ่าย],A203,Table16[สัปดาห์แจ้งซ่อม],"2"))</f>
        <v>-</v>
      </c>
      <c r="P203" s="190" t="str">
        <f>IF(COUNTIFS(Table16[ประเภท],P202,Table16[ฝ่าย],A203,Table16[สัปดาห์แจ้งซ่อม],"2")=0,"-",COUNTIFS(Table16[ประเภท],P202,Table16[ฝ่าย],A203,Table16[สัปดาห์แจ้งซ่อม],"2"))</f>
        <v>-</v>
      </c>
    </row>
    <row r="204" spans="1:16" ht="15" thickBot="1">
      <c r="A204" s="47" t="s">
        <v>55</v>
      </c>
      <c r="B204" s="48">
        <f>COUNTIFS(Table16[ฝ่าย],A204,Table16[สัปดาห์แจ้งซ่อม],2)</f>
        <v>1</v>
      </c>
      <c r="C204" s="49">
        <f>B204/B217</f>
        <v>7.1428571428571425E-2</v>
      </c>
      <c r="D204" s="44" t="str">
        <f>IF(COUNTIFS(Table16[ประเภท],D202,Table16[ฝ่าย],A204,Table16[สัปดาห์แจ้งซ่อม],"2")=0,"-",COUNTIFS(Table16[ประเภท],D202,Table16[ฝ่าย],A204,Table16[สัปดาห์แจ้งซ่อม],"2"))</f>
        <v>-</v>
      </c>
      <c r="E204" s="44">
        <f>IF(COUNTIFS(Table16[ประเภท],E202,Table16[ฝ่าย],A204,Table16[สัปดาห์แจ้งซ่อม],"2")=0,"-",COUNTIFS(Table16[ประเภท],E202,Table16[ฝ่าย],A204,Table16[สัปดาห์แจ้งซ่อม],"2"))</f>
        <v>1</v>
      </c>
      <c r="F204" s="44" t="str">
        <f>IF(COUNTIFS(Table16[ประเภท],F202,Table16[ฝ่าย],A204,Table16[สัปดาห์แจ้งซ่อม],"2")=0,"-",COUNTIFS(Table16[ประเภท],F202,Table16[ฝ่าย],A204,Table16[สัปดาห์แจ้งซ่อม],"2"))</f>
        <v>-</v>
      </c>
      <c r="G204" s="44" t="str">
        <f>IF(COUNTIFS(Table16[ประเภท],G202,Table16[ฝ่าย],A204,Table16[สัปดาห์แจ้งซ่อม],"2")=0,"-",COUNTIFS(Table16[ประเภท],G202,Table16[ฝ่าย],A204,Table16[สัปดาห์แจ้งซ่อม],"2"))</f>
        <v>-</v>
      </c>
      <c r="H204" s="44" t="str">
        <f>IF(COUNTIFS(Table16[ประเภท],H202,Table16[ฝ่าย],A204,Table16[สัปดาห์แจ้งซ่อม],"2")=0,"-",COUNTIFS(Table16[ประเภท],H202,Table16[ฝ่าย],A204,Table16[สัปดาห์แจ้งซ่อม],"2"))</f>
        <v>-</v>
      </c>
      <c r="I204" s="44" t="str">
        <f>IF(COUNTIFS(Table16[ประเภท],I202,Table16[ฝ่าย],A204,Table16[สัปดาห์แจ้งซ่อม],"2")=0,"-",COUNTIFS(Table16[ประเภท],I202,Table16[ฝ่าย],A204,Table16[สัปดาห์แจ้งซ่อม],"2"))</f>
        <v>-</v>
      </c>
      <c r="J204" s="44" t="str">
        <f>IF(COUNTIFS(Table16[ประเภท],J202,Table16[ฝ่าย],A204,Table16[สัปดาห์แจ้งซ่อม],"2")=0,"-",COUNTIFS(Table16[ประเภท],J202,Table16[ฝ่าย],A204,Table16[สัปดาห์แจ้งซ่อม],"2"))</f>
        <v>-</v>
      </c>
      <c r="K204" s="44" t="str">
        <f>IF(COUNTIFS(Table16[ประเภท],K202,Table16[ฝ่าย],A204,Table16[สัปดาห์แจ้งซ่อม],"2")=0,"-",COUNTIFS(Table16[ประเภท],K202,Table16[ฝ่าย],A204,Table16[สัปดาห์แจ้งซ่อม],"2"))</f>
        <v>-</v>
      </c>
      <c r="L204" s="44" t="str">
        <f>IF(COUNTIFS(Table16[ประเภท],L202,Table16[ฝ่าย],A204,Table16[สัปดาห์แจ้งซ่อม],"2")=0,"-",COUNTIFS(Table16[ประเภท],L202,Table16[ฝ่าย],A204,Table16[สัปดาห์แจ้งซ่อม],"2"))</f>
        <v>-</v>
      </c>
      <c r="M204" s="44" t="str">
        <f>IF(COUNTIFS(Table16[ประเภท],M202,Table16[ฝ่าย],A204,Table16[สัปดาห์แจ้งซ่อม],"2")=0,"-",COUNTIFS(Table16[ประเภท],M202,Table16[ฝ่าย],A204,Table16[สัปดาห์แจ้งซ่อม],"2"))</f>
        <v>-</v>
      </c>
      <c r="N204" s="44" t="str">
        <f>IF(COUNTIFS(Table16[ประเภท],N202,Table16[ฝ่าย],A204,Table16[สัปดาห์แจ้งซ่อม],"2")=0,"-",COUNTIFS(Table16[ประเภท],N202,Table16[ฝ่าย],A204,Table16[สัปดาห์แจ้งซ่อม],"2"))</f>
        <v>-</v>
      </c>
      <c r="O204" s="162"/>
      <c r="P204" s="190" t="str">
        <f>IF(COUNTIFS(Table16[ประเภท],P202,Table16[ฝ่าย],A204,Table16[สัปดาห์แจ้งซ่อม],"2")=0,"-",COUNTIFS(Table16[ประเภท],P202,Table16[ฝ่าย],A204,Table16[สัปดาห์แจ้งซ่อม],"2"))</f>
        <v>-</v>
      </c>
    </row>
    <row r="205" spans="1:16" ht="15" thickBot="1">
      <c r="A205" s="47" t="s">
        <v>56</v>
      </c>
      <c r="B205" s="48">
        <f>COUNTIFS(Table16[ฝ่าย],A205,Table16[สัปดาห์แจ้งซ่อม],2)</f>
        <v>1</v>
      </c>
      <c r="C205" s="49">
        <f>B205/B217</f>
        <v>7.1428571428571425E-2</v>
      </c>
      <c r="D205" s="44" t="str">
        <f>IF(COUNTIFS(Table16[ประเภท],D202,Table16[ฝ่าย],A205,Table16[สัปดาห์แจ้งซ่อม],"2")=0,"-",COUNTIFS(Table16[ประเภท],D202,Table16[ฝ่าย],A205,Table16[สัปดาห์แจ้งซ่อม],"2"))</f>
        <v>-</v>
      </c>
      <c r="E205" s="44">
        <f>IF(COUNTIFS(Table16[ประเภท],E202,Table16[ฝ่าย],A205,Table16[สัปดาห์แจ้งซ่อม],"2")=0,"-",COUNTIFS(Table16[ประเภท],E202,Table16[ฝ่าย],A205,Table16[สัปดาห์แจ้งซ่อม],"2"))</f>
        <v>1</v>
      </c>
      <c r="F205" s="44" t="str">
        <f>IF(COUNTIFS(Table16[ประเภท],F202,Table16[ฝ่าย],A205,Table16[สัปดาห์แจ้งซ่อม],"2")=0,"-",COUNTIFS(Table16[ประเภท],F202,Table16[ฝ่าย],A205,Table16[สัปดาห์แจ้งซ่อม],"2"))</f>
        <v>-</v>
      </c>
      <c r="G205" s="44" t="str">
        <f>IF(COUNTIFS(Table16[ประเภท],G202,Table16[ฝ่าย],A205,Table16[สัปดาห์แจ้งซ่อม],"2")=0,"-",COUNTIFS(Table16[ประเภท],G202,Table16[ฝ่าย],A205,Table16[สัปดาห์แจ้งซ่อม],"2"))</f>
        <v>-</v>
      </c>
      <c r="H205" s="44" t="str">
        <f>IF(COUNTIFS(Table16[ประเภท],H202,Table16[ฝ่าย],A205,Table16[สัปดาห์แจ้งซ่อม],"2")=0,"-",COUNTIFS(Table16[ประเภท],H202,Table16[ฝ่าย],A205,Table16[สัปดาห์แจ้งซ่อม],"2"))</f>
        <v>-</v>
      </c>
      <c r="I205" s="44" t="str">
        <f>IF(COUNTIFS(Table16[ประเภท],I202,Table16[ฝ่าย],A205,Table16[สัปดาห์แจ้งซ่อม],"2")=0,"-",COUNTIFS(Table16[ประเภท],I202,Table16[ฝ่าย],A205,Table16[สัปดาห์แจ้งซ่อม],"2"))</f>
        <v>-</v>
      </c>
      <c r="J205" s="44" t="str">
        <f>IF(COUNTIFS(Table16[ประเภท],J202,Table16[ฝ่าย],A205,Table16[สัปดาห์แจ้งซ่อม],"2")=0,"-",COUNTIFS(Table16[ประเภท],J202,Table16[ฝ่าย],A205,Table16[สัปดาห์แจ้งซ่อม],"2"))</f>
        <v>-</v>
      </c>
      <c r="K205" s="44" t="str">
        <f>IF(COUNTIFS(Table16[ประเภท],K202,Table16[ฝ่าย],A205,Table16[สัปดาห์แจ้งซ่อม],"2")=0,"-",COUNTIFS(Table16[ประเภท],K202,Table16[ฝ่าย],A205,Table16[สัปดาห์แจ้งซ่อม],"2"))</f>
        <v>-</v>
      </c>
      <c r="L205" s="44" t="str">
        <f>IF(COUNTIFS(Table16[ประเภท],L202,Table16[ฝ่าย],A205,Table16[สัปดาห์แจ้งซ่อม],"2")=0,"-",COUNTIFS(Table16[ประเภท],L202,Table16[ฝ่าย],A205,Table16[สัปดาห์แจ้งซ่อม],"2"))</f>
        <v>-</v>
      </c>
      <c r="M205" s="44" t="str">
        <f>IF(COUNTIFS(Table16[ประเภท],M202,Table16[ฝ่าย],A205,Table16[สัปดาห์แจ้งซ่อม],"2")=0,"-",COUNTIFS(Table16[ประเภท],M202,Table16[ฝ่าย],A205,Table16[สัปดาห์แจ้งซ่อม],"2"))</f>
        <v>-</v>
      </c>
      <c r="N205" s="44" t="str">
        <f>IF(COUNTIFS(Table16[ประเภท],N202,Table16[ฝ่าย],A205,Table16[สัปดาห์แจ้งซ่อม],"2")=0,"-",COUNTIFS(Table16[ประเภท],N202,Table16[ฝ่าย],A205,Table16[สัปดาห์แจ้งซ่อม],"2"))</f>
        <v>-</v>
      </c>
      <c r="O205" s="162"/>
      <c r="P205" s="190" t="str">
        <f>IF(COUNTIFS(Table16[ประเภท],P202,Table16[ฝ่าย],A205,Table16[สัปดาห์แจ้งซ่อม],"2")=0,"-",COUNTIFS(Table16[ประเภท],P202,Table16[ฝ่าย],A205,Table16[สัปดาห์แจ้งซ่อม],"2"))</f>
        <v>-</v>
      </c>
    </row>
    <row r="206" spans="1:16" ht="15" thickBot="1">
      <c r="A206" s="47" t="s">
        <v>57</v>
      </c>
      <c r="B206" s="48">
        <f>COUNTIFS(Table16[ฝ่าย],A206,Table16[สัปดาห์แจ้งซ่อม],2)</f>
        <v>0</v>
      </c>
      <c r="C206" s="64">
        <f>B206/B217</f>
        <v>0</v>
      </c>
      <c r="D206" s="44" t="str">
        <f>IF(COUNTIFS(Table16[ประเภท],D202,Table16[ฝ่าย],A206,Table16[สัปดาห์แจ้งซ่อม],"2")=0,"-",COUNTIFS(Table16[ประเภท],D202,Table16[ฝ่าย],A206,Table16[สัปดาห์แจ้งซ่อม],"2"))</f>
        <v>-</v>
      </c>
      <c r="E206" s="44" t="str">
        <f>IF(COUNTIFS(Table16[ประเภท],E202,Table16[ฝ่าย],A206,Table16[สัปดาห์แจ้งซ่อม],"2")=0,"-",COUNTIFS(Table16[ประเภท],E202,Table16[ฝ่าย],A206,Table16[สัปดาห์แจ้งซ่อม],"2"))</f>
        <v>-</v>
      </c>
      <c r="F206" s="44" t="str">
        <f>IF(COUNTIFS(Table16[ประเภท],F202,Table16[ฝ่าย],A206,Table16[สัปดาห์แจ้งซ่อม],"2")=0,"-",COUNTIFS(Table16[ประเภท],F202,Table16[ฝ่าย],A206,Table16[สัปดาห์แจ้งซ่อม],"2"))</f>
        <v>-</v>
      </c>
      <c r="G206" s="44" t="str">
        <f>IF(COUNTIFS(Table16[ประเภท],G202,Table16[ฝ่าย],A206,Table16[สัปดาห์แจ้งซ่อม],"2")=0,"-",COUNTIFS(Table16[ประเภท],G202,Table16[ฝ่าย],A206,Table16[สัปดาห์แจ้งซ่อม],"2"))</f>
        <v>-</v>
      </c>
      <c r="H206" s="44" t="str">
        <f>IF(COUNTIFS(Table16[ประเภท],H202,Table16[ฝ่าย],A206,Table16[สัปดาห์แจ้งซ่อม],"2")=0,"-",COUNTIFS(Table16[ประเภท],H202,Table16[ฝ่าย],A206,Table16[สัปดาห์แจ้งซ่อม],"2"))</f>
        <v>-</v>
      </c>
      <c r="I206" s="44" t="str">
        <f>IF(COUNTIFS(Table16[ประเภท],I202,Table16[ฝ่าย],A206,Table16[สัปดาห์แจ้งซ่อม],"2")=0,"-",COUNTIFS(Table16[ประเภท],I202,Table16[ฝ่าย],A206,Table16[สัปดาห์แจ้งซ่อม],"2"))</f>
        <v>-</v>
      </c>
      <c r="J206" s="44" t="str">
        <f>IF(COUNTIFS(Table16[ประเภท],J202,Table16[ฝ่าย],A206,Table16[สัปดาห์แจ้งซ่อม],"2")=0,"-",COUNTIFS(Table16[ประเภท],J202,Table16[ฝ่าย],A206,Table16[สัปดาห์แจ้งซ่อม],"2"))</f>
        <v>-</v>
      </c>
      <c r="K206" s="44" t="str">
        <f>IF(COUNTIFS(Table16[ประเภท],K202,Table16[ฝ่าย],A206,Table16[สัปดาห์แจ้งซ่อม],"2")=0,"-",COUNTIFS(Table16[ประเภท],K202,Table16[ฝ่าย],A206,Table16[สัปดาห์แจ้งซ่อม],"2"))</f>
        <v>-</v>
      </c>
      <c r="L206" s="44" t="str">
        <f>IF(COUNTIFS(Table16[ประเภท],L202,Table16[ฝ่าย],A206,Table16[สัปดาห์แจ้งซ่อม],"2")=0,"-",COUNTIFS(Table16[ประเภท],L202,Table16[ฝ่าย],A206,Table16[สัปดาห์แจ้งซ่อม],"2"))</f>
        <v>-</v>
      </c>
      <c r="M206" s="44" t="str">
        <f>IF(COUNTIFS(Table16[ประเภท],M202,Table16[ฝ่าย],A206,Table16[สัปดาห์แจ้งซ่อม],"2")=0,"-",COUNTIFS(Table16[ประเภท],M202,Table16[ฝ่าย],A206,Table16[สัปดาห์แจ้งซ่อม],"2"))</f>
        <v>-</v>
      </c>
      <c r="N206" s="44" t="str">
        <f>IF(COUNTIFS(Table16[ประเภท],N202,Table16[ฝ่าย],A206,Table16[สัปดาห์แจ้งซ่อม],"2")=0,"-",COUNTIFS(Table16[ประเภท],N202,Table16[ฝ่าย],A206,Table16[สัปดาห์แจ้งซ่อม],"2"))</f>
        <v>-</v>
      </c>
      <c r="O206" s="162"/>
      <c r="P206" s="190" t="str">
        <f>IF(COUNTIFS(Table16[ประเภท],P202,Table16[ฝ่าย],A206,Table16[สัปดาห์แจ้งซ่อม],"2")=0,"-",COUNTIFS(Table16[ประเภท],P202,Table16[ฝ่าย],A206,Table16[สัปดาห์แจ้งซ่อม],"2"))</f>
        <v>-</v>
      </c>
    </row>
    <row r="207" spans="1:16" ht="15" thickBot="1">
      <c r="A207" s="47" t="s">
        <v>58</v>
      </c>
      <c r="B207" s="48">
        <f>COUNTIFS(Table16[ฝ่าย],A207,Table16[สัปดาห์แจ้งซ่อม],2)</f>
        <v>0</v>
      </c>
      <c r="C207" s="49">
        <f>B207/B217</f>
        <v>0</v>
      </c>
      <c r="D207" s="44" t="str">
        <f>IF(COUNTIFS(Table16[ประเภท],D202,Table16[ฝ่าย],A207,Table16[สัปดาห์แจ้งซ่อม],"2")=0,"-",COUNTIFS(Table16[ประเภท],D202,Table16[ฝ่าย],A207,Table16[สัปดาห์แจ้งซ่อม],"2"))</f>
        <v>-</v>
      </c>
      <c r="E207" s="44" t="str">
        <f>IF(COUNTIFS(Table16[ประเภท],E202,Table16[ฝ่าย],A207,Table16[สัปดาห์แจ้งซ่อม],"2")=0,"-",COUNTIFS(Table16[ประเภท],E202,Table16[ฝ่าย],A207,Table16[สัปดาห์แจ้งซ่อม],"2"))</f>
        <v>-</v>
      </c>
      <c r="F207" s="44" t="str">
        <f>IF(COUNTIFS(Table16[ประเภท],F202,Table16[ฝ่าย],A207,Table16[สัปดาห์แจ้งซ่อม],"2")=0,"-",COUNTIFS(Table16[ประเภท],F202,Table16[ฝ่าย],A207,Table16[สัปดาห์แจ้งซ่อม],"2"))</f>
        <v>-</v>
      </c>
      <c r="G207" s="44" t="str">
        <f>IF(COUNTIFS(Table16[ประเภท],G202,Table16[ฝ่าย],A207,Table16[สัปดาห์แจ้งซ่อม],"2")=0,"-",COUNTIFS(Table16[ประเภท],G202,Table16[ฝ่าย],A207,Table16[สัปดาห์แจ้งซ่อม],"2"))</f>
        <v>-</v>
      </c>
      <c r="H207" s="44" t="str">
        <f>IF(COUNTIFS(Table16[ประเภท],H202,Table16[ฝ่าย],A207,Table16[สัปดาห์แจ้งซ่อม],"2")=0,"-",COUNTIFS(Table16[ประเภท],H202,Table16[ฝ่าย],A207,Table16[สัปดาห์แจ้งซ่อม],"2"))</f>
        <v>-</v>
      </c>
      <c r="I207" s="44" t="str">
        <f>IF(COUNTIFS(Table16[ประเภท],I202,Table16[ฝ่าย],A207,Table16[สัปดาห์แจ้งซ่อม],"2")=0,"-",COUNTIFS(Table16[ประเภท],I202,Table16[ฝ่าย],A207,Table16[สัปดาห์แจ้งซ่อม],"2"))</f>
        <v>-</v>
      </c>
      <c r="J207" s="44" t="str">
        <f>IF(COUNTIFS(Table16[ประเภท],J202,Table16[ฝ่าย],A207,Table16[สัปดาห์แจ้งซ่อม],"2")=0,"-",COUNTIFS(Table16[ประเภท],J202,Table16[ฝ่าย],A207,Table16[สัปดาห์แจ้งซ่อม],"2"))</f>
        <v>-</v>
      </c>
      <c r="K207" s="44" t="str">
        <f>IF(COUNTIFS(Table16[ประเภท],K202,Table16[ฝ่าย],A207,Table16[สัปดาห์แจ้งซ่อม],"2")=0,"-",COUNTIFS(Table16[ประเภท],K202,Table16[ฝ่าย],A207,Table16[สัปดาห์แจ้งซ่อม],"2"))</f>
        <v>-</v>
      </c>
      <c r="L207" s="44" t="str">
        <f>IF(COUNTIFS(Table16[ประเภท],L202,Table16[ฝ่าย],A207,Table16[สัปดาห์แจ้งซ่อม],"2")=0,"-",COUNTIFS(Table16[ประเภท],L202,Table16[ฝ่าย],A207,Table16[สัปดาห์แจ้งซ่อม],"2"))</f>
        <v>-</v>
      </c>
      <c r="M207" s="44" t="str">
        <f>IF(COUNTIFS(Table16[ประเภท],M202,Table16[ฝ่าย],A207,Table16[สัปดาห์แจ้งซ่อม],"2")=0,"-",COUNTIFS(Table16[ประเภท],M202,Table16[ฝ่าย],A207,Table16[สัปดาห์แจ้งซ่อม],"2"))</f>
        <v>-</v>
      </c>
      <c r="N207" s="44" t="str">
        <f>IF(COUNTIFS(Table16[ประเภท],N202,Table16[ฝ่าย],A207,Table16[สัปดาห์แจ้งซ่อม],"2")=0,"-",COUNTIFS(Table16[ประเภท],N202,Table16[ฝ่าย],A207,Table16[สัปดาห์แจ้งซ่อม],"2"))</f>
        <v>-</v>
      </c>
      <c r="O207" s="162"/>
      <c r="P207" s="190" t="str">
        <f>IF(COUNTIFS(Table16[ประเภท],P202,Table16[ฝ่าย],A207,Table16[สัปดาห์แจ้งซ่อม],"2")=0,"-",COUNTIFS(Table16[ประเภท],P202,Table16[ฝ่าย],A207,Table16[สัปดาห์แจ้งซ่อม],"2"))</f>
        <v>-</v>
      </c>
    </row>
    <row r="208" spans="1:16" ht="15" thickBot="1">
      <c r="A208" s="47" t="s">
        <v>59</v>
      </c>
      <c r="B208" s="48">
        <f>COUNTIFS(Table16[ฝ่าย],A208,Table16[สัปดาห์แจ้งซ่อม],2)</f>
        <v>0</v>
      </c>
      <c r="C208" s="49">
        <f>B208/B217</f>
        <v>0</v>
      </c>
      <c r="D208" s="44" t="str">
        <f>IF(COUNTIFS(Table16[ประเภท],D202,Table16[ฝ่าย],A208,Table16[สัปดาห์แจ้งซ่อม],"2")=0,"-",COUNTIFS(Table16[ประเภท],D202,Table16[ฝ่าย],A208,Table16[สัปดาห์แจ้งซ่อม],"2"))</f>
        <v>-</v>
      </c>
      <c r="E208" s="44" t="str">
        <f>IF(COUNTIFS(Table16[ประเภท],E202,Table16[ฝ่าย],A208,Table16[สัปดาห์แจ้งซ่อม],"2")=0,"-",COUNTIFS(Table16[ประเภท],E202,Table16[ฝ่าย],A208,Table16[สัปดาห์แจ้งซ่อม],"2"))</f>
        <v>-</v>
      </c>
      <c r="F208" s="44" t="str">
        <f>IF(COUNTIFS(Table16[ประเภท],F202,Table16[ฝ่าย],A208,Table16[สัปดาห์แจ้งซ่อม],"2")=0,"-",COUNTIFS(Table16[ประเภท],F202,Table16[ฝ่าย],A208,Table16[สัปดาห์แจ้งซ่อม],"2"))</f>
        <v>-</v>
      </c>
      <c r="G208" s="44" t="str">
        <f>IF(COUNTIFS(Table16[ประเภท],G202,Table16[ฝ่าย],A208,Table16[สัปดาห์แจ้งซ่อม],"2")=0,"-",COUNTIFS(Table16[ประเภท],G202,Table16[ฝ่าย],A208,Table16[สัปดาห์แจ้งซ่อม],"2"))</f>
        <v>-</v>
      </c>
      <c r="H208" s="44" t="str">
        <f>IF(COUNTIFS(Table16[ประเภท],H202,Table16[ฝ่าย],A208,Table16[สัปดาห์แจ้งซ่อม],"2")=0,"-",COUNTIFS(Table16[ประเภท],H202,Table16[ฝ่าย],A208,Table16[สัปดาห์แจ้งซ่อม],"2"))</f>
        <v>-</v>
      </c>
      <c r="I208" s="44" t="str">
        <f>IF(COUNTIFS(Table16[ประเภท],I202,Table16[ฝ่าย],A208,Table16[สัปดาห์แจ้งซ่อม],"2")=0,"-",COUNTIFS(Table16[ประเภท],I202,Table16[ฝ่าย],A208,Table16[สัปดาห์แจ้งซ่อม],"2"))</f>
        <v>-</v>
      </c>
      <c r="J208" s="44" t="str">
        <f>IF(COUNTIFS(Table16[ประเภท],J202,Table16[ฝ่าย],A208,Table16[สัปดาห์แจ้งซ่อม],"2")=0,"-",COUNTIFS(Table16[ประเภท],J202,Table16[ฝ่าย],A208,Table16[สัปดาห์แจ้งซ่อม],"2"))</f>
        <v>-</v>
      </c>
      <c r="K208" s="44" t="str">
        <f>IF(COUNTIFS(Table16[ประเภท],K202,Table16[ฝ่าย],A208,Table16[สัปดาห์แจ้งซ่อม],"2")=0,"-",COUNTIFS(Table16[ประเภท],K202,Table16[ฝ่าย],A208,Table16[สัปดาห์แจ้งซ่อม],"2"))</f>
        <v>-</v>
      </c>
      <c r="L208" s="44" t="str">
        <f>IF(COUNTIFS(Table16[ประเภท],L202,Table16[ฝ่าย],A208,Table16[สัปดาห์แจ้งซ่อม],"2")=0,"-",COUNTIFS(Table16[ประเภท],L202,Table16[ฝ่าย],A208,Table16[สัปดาห์แจ้งซ่อม],"2"))</f>
        <v>-</v>
      </c>
      <c r="M208" s="44" t="str">
        <f>IF(COUNTIFS(Table16[ประเภท],M202,Table16[ฝ่าย],A208,Table16[สัปดาห์แจ้งซ่อม],"2")=0,"-",COUNTIFS(Table16[ประเภท],M202,Table16[ฝ่าย],A208,Table16[สัปดาห์แจ้งซ่อม],"2"))</f>
        <v>-</v>
      </c>
      <c r="N208" s="44" t="str">
        <f>IF(COUNTIFS(Table16[ประเภท],N202,Table16[ฝ่าย],A208,Table16[สัปดาห์แจ้งซ่อม],"2")=0,"-",COUNTIFS(Table16[ประเภท],N202,Table16[ฝ่าย],A208,Table16[สัปดาห์แจ้งซ่อม],"2"))</f>
        <v>-</v>
      </c>
      <c r="O208" s="162"/>
      <c r="P208" s="190" t="str">
        <f>IF(COUNTIFS(Table16[ประเภท],P202,Table16[ฝ่าย],A208,Table16[สัปดาห์แจ้งซ่อม],"2")=0,"-",COUNTIFS(Table16[ประเภท],P202,Table16[ฝ่าย],A208,Table16[สัปดาห์แจ้งซ่อม],"2"))</f>
        <v>-</v>
      </c>
    </row>
    <row r="209" spans="1:16" ht="15" thickBot="1">
      <c r="A209" s="47" t="s">
        <v>60</v>
      </c>
      <c r="B209" s="48">
        <f>COUNTIFS(Table16[ฝ่าย],A209,Table16[สัปดาห์แจ้งซ่อม],2)</f>
        <v>0</v>
      </c>
      <c r="C209" s="49">
        <f>B209/B217</f>
        <v>0</v>
      </c>
      <c r="D209" s="44" t="str">
        <f>IF(COUNTIFS(Table16[ประเภท],D202,Table16[ฝ่าย],A209,Table16[สัปดาห์แจ้งซ่อม],"2")=0,"-",COUNTIFS(Table16[ประเภท],D202,Table16[ฝ่าย],A209,Table16[สัปดาห์แจ้งซ่อม],"2"))</f>
        <v>-</v>
      </c>
      <c r="E209" s="44" t="str">
        <f>IF(COUNTIFS(Table16[ประเภท],E202,Table16[ฝ่าย],A209,Table16[สัปดาห์แจ้งซ่อม],"2")=0,"-",COUNTIFS(Table16[ประเภท],E202,Table16[ฝ่าย],A209,Table16[สัปดาห์แจ้งซ่อม],"2"))</f>
        <v>-</v>
      </c>
      <c r="F209" s="44" t="str">
        <f>IF(COUNTIFS(Table16[ประเภท],F202,Table16[ฝ่าย],A209,Table16[สัปดาห์แจ้งซ่อม],"2")=0,"-",COUNTIFS(Table16[ประเภท],F202,Table16[ฝ่าย],A209,Table16[สัปดาห์แจ้งซ่อม],"2"))</f>
        <v>-</v>
      </c>
      <c r="G209" s="44" t="str">
        <f>IF(COUNTIFS(Table16[ประเภท],G202,Table16[ฝ่าย],A209,Table16[สัปดาห์แจ้งซ่อม],"2")=0,"-",COUNTIFS(Table16[ประเภท],G202,Table16[ฝ่าย],A209,Table16[สัปดาห์แจ้งซ่อม],"2"))</f>
        <v>-</v>
      </c>
      <c r="H209" s="44" t="str">
        <f>IF(COUNTIFS(Table16[ประเภท],H202,Table16[ฝ่าย],A209,Table16[สัปดาห์แจ้งซ่อม],"2")=0,"-",COUNTIFS(Table16[ประเภท],H202,Table16[ฝ่าย],A209,Table16[สัปดาห์แจ้งซ่อม],"2"))</f>
        <v>-</v>
      </c>
      <c r="I209" s="44" t="str">
        <f>IF(COUNTIFS(Table16[ประเภท],I202,Table16[ฝ่าย],A209,Table16[สัปดาห์แจ้งซ่อม],"2")=0,"-",COUNTIFS(Table16[ประเภท],I202,Table16[ฝ่าย],A209,Table16[สัปดาห์แจ้งซ่อม],"2"))</f>
        <v>-</v>
      </c>
      <c r="J209" s="44" t="str">
        <f>IF(COUNTIFS(Table16[ประเภท],J202,Table16[ฝ่าย],A209,Table16[สัปดาห์แจ้งซ่อม],"2")=0,"-",COUNTIFS(Table16[ประเภท],J202,Table16[ฝ่าย],A209,Table16[สัปดาห์แจ้งซ่อม],"2"))</f>
        <v>-</v>
      </c>
      <c r="K209" s="44" t="str">
        <f>IF(COUNTIFS(Table16[ประเภท],K202,Table16[ฝ่าย],A209,Table16[สัปดาห์แจ้งซ่อม],"2")=0,"-",COUNTIFS(Table16[ประเภท],K202,Table16[ฝ่าย],A209,Table16[สัปดาห์แจ้งซ่อม],"2"))</f>
        <v>-</v>
      </c>
      <c r="L209" s="44" t="str">
        <f>IF(COUNTIFS(Table16[ประเภท],L202,Table16[ฝ่าย],A209,Table16[สัปดาห์แจ้งซ่อม],"2")=0,"-",COUNTIFS(Table16[ประเภท],L202,Table16[ฝ่าย],A209,Table16[สัปดาห์แจ้งซ่อม],"2"))</f>
        <v>-</v>
      </c>
      <c r="M209" s="44" t="str">
        <f>IF(COUNTIFS(Table16[ประเภท],M202,Table16[ฝ่าย],A209,Table16[สัปดาห์แจ้งซ่อม],"2")=0,"-",COUNTIFS(Table16[ประเภท],M202,Table16[ฝ่าย],A209,Table16[สัปดาห์แจ้งซ่อม],"2"))</f>
        <v>-</v>
      </c>
      <c r="N209" s="44" t="str">
        <f>IF(COUNTIFS(Table16[ประเภท],N202,Table16[ฝ่าย],A209,Table16[สัปดาห์แจ้งซ่อม],"2")=0,"-",COUNTIFS(Table16[ประเภท],N202,Table16[ฝ่าย],A209,Table16[สัปดาห์แจ้งซ่อม],"2"))</f>
        <v>-</v>
      </c>
      <c r="O209" s="162"/>
      <c r="P209" s="190" t="str">
        <f>IF(COUNTIFS(Table16[ประเภท],P202,Table16[ฝ่าย],A209,Table16[สัปดาห์แจ้งซ่อม],"2")=0,"-",COUNTIFS(Table16[ประเภท],P202,Table16[ฝ่าย],A209,Table16[สัปดาห์แจ้งซ่อม],"2"))</f>
        <v>-</v>
      </c>
    </row>
    <row r="210" spans="1:16" ht="15" thickBot="1">
      <c r="A210" s="47" t="s">
        <v>61</v>
      </c>
      <c r="B210" s="48">
        <f>COUNTIFS(Table16[ฝ่าย],A210,Table16[สัปดาห์แจ้งซ่อม],2)</f>
        <v>0</v>
      </c>
      <c r="C210" s="49">
        <f>B210/B217</f>
        <v>0</v>
      </c>
      <c r="D210" s="44" t="str">
        <f>IF(COUNTIFS(Table16[ประเภท],D202,Table16[ฝ่าย],A210,Table16[สัปดาห์แจ้งซ่อม],"2")=0,"-",COUNTIFS(Table16[ประเภท],D202,Table16[ฝ่าย],A210,Table16[สัปดาห์แจ้งซ่อม],"2"))</f>
        <v>-</v>
      </c>
      <c r="E210" s="44" t="str">
        <f>IF(COUNTIFS(Table16[ประเภท],E202,Table16[ฝ่าย],A210,Table16[สัปดาห์แจ้งซ่อม],"2")=0,"-",COUNTIFS(Table16[ประเภท],E202,Table16[ฝ่าย],A210,Table16[สัปดาห์แจ้งซ่อม],"2"))</f>
        <v>-</v>
      </c>
      <c r="F210" s="44" t="str">
        <f>IF(COUNTIFS(Table16[ประเภท],F202,Table16[ฝ่าย],A210,Table16[สัปดาห์แจ้งซ่อม],"2")=0,"-",COUNTIFS(Table16[ประเภท],F202,Table16[ฝ่าย],A210,Table16[สัปดาห์แจ้งซ่อม],"2"))</f>
        <v>-</v>
      </c>
      <c r="G210" s="44" t="str">
        <f>IF(COUNTIFS(Table16[ประเภท],G202,Table16[ฝ่าย],A210,Table16[สัปดาห์แจ้งซ่อม],"2")=0,"-",COUNTIFS(Table16[ประเภท],G202,Table16[ฝ่าย],A210,Table16[สัปดาห์แจ้งซ่อม],"2"))</f>
        <v>-</v>
      </c>
      <c r="H210" s="44" t="str">
        <f>IF(COUNTIFS(Table16[ประเภท],H202,Table16[ฝ่าย],A210,Table16[สัปดาห์แจ้งซ่อม],"2")=0,"-",COUNTIFS(Table16[ประเภท],H202,Table16[ฝ่าย],A210,Table16[สัปดาห์แจ้งซ่อม],"2"))</f>
        <v>-</v>
      </c>
      <c r="I210" s="44" t="str">
        <f>IF(COUNTIFS(Table16[ประเภท],I202,Table16[ฝ่าย],A210,Table16[สัปดาห์แจ้งซ่อม],"2")=0,"-",COUNTIFS(Table16[ประเภท],I202,Table16[ฝ่าย],A210,Table16[สัปดาห์แจ้งซ่อม],"2"))</f>
        <v>-</v>
      </c>
      <c r="J210" s="44" t="str">
        <f>IF(COUNTIFS(Table16[ประเภท],J202,Table16[ฝ่าย],A210,Table16[สัปดาห์แจ้งซ่อม],"2")=0,"-",COUNTIFS(Table16[ประเภท],J202,Table16[ฝ่าย],A210,Table16[สัปดาห์แจ้งซ่อม],"2"))</f>
        <v>-</v>
      </c>
      <c r="K210" s="44" t="str">
        <f>IF(COUNTIFS(Table16[ประเภท],K202,Table16[ฝ่าย],A210,Table16[สัปดาห์แจ้งซ่อม],"2")=0,"-",COUNTIFS(Table16[ประเภท],K202,Table16[ฝ่าย],A210,Table16[สัปดาห์แจ้งซ่อม],"2"))</f>
        <v>-</v>
      </c>
      <c r="L210" s="44" t="str">
        <f>IF(COUNTIFS(Table16[ประเภท],L202,Table16[ฝ่าย],A210,Table16[สัปดาห์แจ้งซ่อม],"2")=0,"-",COUNTIFS(Table16[ประเภท],L202,Table16[ฝ่าย],A210,Table16[สัปดาห์แจ้งซ่อม],"2"))</f>
        <v>-</v>
      </c>
      <c r="M210" s="44" t="str">
        <f>IF(COUNTIFS(Table16[ประเภท],M202,Table16[ฝ่าย],A210,Table16[สัปดาห์แจ้งซ่อม],"2")=0,"-",COUNTIFS(Table16[ประเภท],M202,Table16[ฝ่าย],A210,Table16[สัปดาห์แจ้งซ่อม],"2"))</f>
        <v>-</v>
      </c>
      <c r="N210" s="44" t="str">
        <f>IF(COUNTIFS(Table16[ประเภท],N202,Table16[ฝ่าย],A210,Table16[สัปดาห์แจ้งซ่อม],"2")=0,"-",COUNTIFS(Table16[ประเภท],N202,Table16[ฝ่าย],A210,Table16[สัปดาห์แจ้งซ่อม],"2"))</f>
        <v>-</v>
      </c>
      <c r="O210" s="162"/>
      <c r="P210" s="190" t="str">
        <f>IF(COUNTIFS(Table16[ประเภท],P202,Table16[ฝ่าย],A210,Table16[สัปดาห์แจ้งซ่อม],"2")=0,"-",COUNTIFS(Table16[ประเภท],P202,Table16[ฝ่าย],A210,Table16[สัปดาห์แจ้งซ่อม],"2"))</f>
        <v>-</v>
      </c>
    </row>
    <row r="211" spans="1:16" ht="15" thickBot="1">
      <c r="A211" s="47" t="s">
        <v>62</v>
      </c>
      <c r="B211" s="48">
        <f>COUNTIFS(Table16[ฝ่าย],A211,Table16[สัปดาห์แจ้งซ่อม],2)</f>
        <v>0</v>
      </c>
      <c r="C211" s="49">
        <f>B211/B217</f>
        <v>0</v>
      </c>
      <c r="D211" s="44" t="str">
        <f>IF(COUNTIFS(Table16[ประเภท],D202,Table16[ฝ่าย],A211,Table16[สัปดาห์แจ้งซ่อม],"2")=0,"-",COUNTIFS(Table16[ประเภท],D202,Table16[ฝ่าย],A211,Table16[สัปดาห์แจ้งซ่อม],"2"))</f>
        <v>-</v>
      </c>
      <c r="E211" s="44" t="str">
        <f>IF(COUNTIFS(Table16[ประเภท],E202,Table16[ฝ่าย],A211,Table16[สัปดาห์แจ้งซ่อม],"2")=0,"-",COUNTIFS(Table16[ประเภท],E202,Table16[ฝ่าย],A211,Table16[สัปดาห์แจ้งซ่อม],"2"))</f>
        <v>-</v>
      </c>
      <c r="F211" s="44" t="str">
        <f>IF(COUNTIFS(Table16[ประเภท],F202,Table16[ฝ่าย],A211,Table16[สัปดาห์แจ้งซ่อม],"2")=0,"-",COUNTIFS(Table16[ประเภท],F202,Table16[ฝ่าย],A211,Table16[สัปดาห์แจ้งซ่อม],"2"))</f>
        <v>-</v>
      </c>
      <c r="G211" s="44" t="str">
        <f>IF(COUNTIFS(Table16[ประเภท],G202,Table16[ฝ่าย],A211,Table16[สัปดาห์แจ้งซ่อม],"2")=0,"-",COUNTIFS(Table16[ประเภท],G202,Table16[ฝ่าย],A211,Table16[สัปดาห์แจ้งซ่อม],"2"))</f>
        <v>-</v>
      </c>
      <c r="H211" s="44" t="str">
        <f>IF(COUNTIFS(Table16[ประเภท],H202,Table16[ฝ่าย],A211,Table16[สัปดาห์แจ้งซ่อม],"2")=0,"-",COUNTIFS(Table16[ประเภท],H202,Table16[ฝ่าย],A211,Table16[สัปดาห์แจ้งซ่อม],"2"))</f>
        <v>-</v>
      </c>
      <c r="I211" s="44" t="str">
        <f>IF(COUNTIFS(Table16[ประเภท],I202,Table16[ฝ่าย],A211,Table16[สัปดาห์แจ้งซ่อม],"2")=0,"-",COUNTIFS(Table16[ประเภท],I202,Table16[ฝ่าย],A211,Table16[สัปดาห์แจ้งซ่อม],"2"))</f>
        <v>-</v>
      </c>
      <c r="J211" s="44" t="str">
        <f>IF(COUNTIFS(Table16[ประเภท],J202,Table16[ฝ่าย],A211,Table16[สัปดาห์แจ้งซ่อม],"2")=0,"-",COUNTIFS(Table16[ประเภท],J202,Table16[ฝ่าย],A211,Table16[สัปดาห์แจ้งซ่อม],"2"))</f>
        <v>-</v>
      </c>
      <c r="K211" s="44" t="str">
        <f>IF(COUNTIFS(Table16[ประเภท],K202,Table16[ฝ่าย],A211,Table16[สัปดาห์แจ้งซ่อม],"2")=0,"-",COUNTIFS(Table16[ประเภท],K202,Table16[ฝ่าย],A211,Table16[สัปดาห์แจ้งซ่อม],"2"))</f>
        <v>-</v>
      </c>
      <c r="L211" s="44" t="str">
        <f>IF(COUNTIFS(Table16[ประเภท],L202,Table16[ฝ่าย],A211,Table16[สัปดาห์แจ้งซ่อม],"2")=0,"-",COUNTIFS(Table16[ประเภท],L202,Table16[ฝ่าย],A211,Table16[สัปดาห์แจ้งซ่อม],"2"))</f>
        <v>-</v>
      </c>
      <c r="M211" s="44" t="str">
        <f>IF(COUNTIFS(Table16[ประเภท],M202,Table16[ฝ่าย],A211,Table16[สัปดาห์แจ้งซ่อม],"2")=0,"-",COUNTIFS(Table16[ประเภท],M202,Table16[ฝ่าย],A211,Table16[สัปดาห์แจ้งซ่อม],"2"))</f>
        <v>-</v>
      </c>
      <c r="N211" s="44" t="str">
        <f>IF(COUNTIFS(Table16[ประเภท],N202,Table16[ฝ่าย],A211,Table16[สัปดาห์แจ้งซ่อม],"2")=0,"-",COUNTIFS(Table16[ประเภท],N202,Table16[ฝ่าย],A211,Table16[สัปดาห์แจ้งซ่อม],"2"))</f>
        <v>-</v>
      </c>
      <c r="O211" s="162"/>
      <c r="P211" s="190" t="str">
        <f>IF(COUNTIFS(Table16[ประเภท],P202,Table16[ฝ่าย],A211,Table16[สัปดาห์แจ้งซ่อม],"2")=0,"-",COUNTIFS(Table16[ประเภท],P202,Table16[ฝ่าย],A211,Table16[สัปดาห์แจ้งซ่อม],"2"))</f>
        <v>-</v>
      </c>
    </row>
    <row r="212" spans="1:16" ht="15" thickBot="1">
      <c r="A212" s="47" t="s">
        <v>63</v>
      </c>
      <c r="B212" s="48">
        <f>COUNTIFS(Table16[ฝ่าย],A212,Table16[สัปดาห์แจ้งซ่อม],2)</f>
        <v>0</v>
      </c>
      <c r="C212" s="50">
        <f>B212/B217</f>
        <v>0</v>
      </c>
      <c r="D212" s="44" t="str">
        <f>IF(COUNTIFS(Table16[ประเภท],D202,Table16[ฝ่าย],A212,Table16[สัปดาห์แจ้งซ่อม],"2")=0,"-",COUNTIFS(Table16[ประเภท],D202,Table16[ฝ่าย],A212,Table16[สัปดาห์แจ้งซ่อม],"2"))</f>
        <v>-</v>
      </c>
      <c r="E212" s="44" t="str">
        <f>IF(COUNTIFS(Table16[ประเภท],E202,Table16[ฝ่าย],A212,Table16[สัปดาห์แจ้งซ่อม],"2")=0,"-",COUNTIFS(Table16[ประเภท],E202,Table16[ฝ่าย],A212,Table16[สัปดาห์แจ้งซ่อม],"2"))</f>
        <v>-</v>
      </c>
      <c r="F212" s="44" t="str">
        <f>IF(COUNTIFS(Table16[ประเภท],F202,Table16[ฝ่าย],A212,Table16[สัปดาห์แจ้งซ่อม],"2")=0,"-",COUNTIFS(Table16[ประเภท],F202,Table16[ฝ่าย],A212,Table16[สัปดาห์แจ้งซ่อม],"2"))</f>
        <v>-</v>
      </c>
      <c r="G212" s="44" t="str">
        <f>IF(COUNTIFS(Table16[ประเภท],G202,Table16[ฝ่าย],A212,Table16[สัปดาห์แจ้งซ่อม],"2")=0,"-",COUNTIFS(Table16[ประเภท],G202,Table16[ฝ่าย],A212,Table16[สัปดาห์แจ้งซ่อม],"2"))</f>
        <v>-</v>
      </c>
      <c r="H212" s="44" t="str">
        <f>IF(COUNTIFS(Table16[ประเภท],H202,Table16[ฝ่าย],A212,Table16[สัปดาห์แจ้งซ่อม],"2")=0,"-",COUNTIFS(Table16[ประเภท],H202,Table16[ฝ่าย],A212,Table16[สัปดาห์แจ้งซ่อม],"2"))</f>
        <v>-</v>
      </c>
      <c r="I212" s="44" t="str">
        <f>IF(COUNTIFS(Table16[ประเภท],I202,Table16[ฝ่าย],A212,Table16[สัปดาห์แจ้งซ่อม],"2")=0,"-",COUNTIFS(Table16[ประเภท],I202,Table16[ฝ่าย],A212,Table16[สัปดาห์แจ้งซ่อม],"2"))</f>
        <v>-</v>
      </c>
      <c r="J212" s="44" t="str">
        <f>IF(COUNTIFS(Table16[ประเภท],J202,Table16[ฝ่าย],A212,Table16[สัปดาห์แจ้งซ่อม],"2")=0,"-",COUNTIFS(Table16[ประเภท],J202,Table16[ฝ่าย],A212,Table16[สัปดาห์แจ้งซ่อม],"2"))</f>
        <v>-</v>
      </c>
      <c r="K212" s="44" t="str">
        <f>IF(COUNTIFS(Table16[ประเภท],K202,Table16[ฝ่าย],A212,Table16[สัปดาห์แจ้งซ่อม],"2")=0,"-",COUNTIFS(Table16[ประเภท],K202,Table16[ฝ่าย],A212,Table16[สัปดาห์แจ้งซ่อม],"2"))</f>
        <v>-</v>
      </c>
      <c r="L212" s="44" t="str">
        <f>IF(COUNTIFS(Table16[ประเภท],L202,Table16[ฝ่าย],A212,Table16[สัปดาห์แจ้งซ่อม],"2")=0,"-",COUNTIFS(Table16[ประเภท],L202,Table16[ฝ่าย],A212,Table16[สัปดาห์แจ้งซ่อม],"2"))</f>
        <v>-</v>
      </c>
      <c r="M212" s="44" t="str">
        <f>IF(COUNTIFS(Table16[ประเภท],M202,Table16[ฝ่าย],A212,Table16[สัปดาห์แจ้งซ่อม],"2")=0,"-",COUNTIFS(Table16[ประเภท],M202,Table16[ฝ่าย],A212,Table16[สัปดาห์แจ้งซ่อม],"2"))</f>
        <v>-</v>
      </c>
      <c r="N212" s="44" t="str">
        <f>IF(COUNTIFS(Table16[ประเภท],N202,Table16[ฝ่าย],A212,Table16[สัปดาห์แจ้งซ่อม],"2")=0,"-",COUNTIFS(Table16[ประเภท],N202,Table16[ฝ่าย],A212,Table16[สัปดาห์แจ้งซ่อม],"2"))</f>
        <v>-</v>
      </c>
      <c r="O212" s="162"/>
      <c r="P212" s="190" t="str">
        <f>IF(COUNTIFS(Table16[ประเภท],P202,Table16[ฝ่าย],A212,Table16[สัปดาห์แจ้งซ่อม],"2")=0,"-",COUNTIFS(Table16[ประเภท],P202,Table16[ฝ่าย],A212,Table16[สัปดาห์แจ้งซ่อม],"2"))</f>
        <v>-</v>
      </c>
    </row>
    <row r="213" spans="1:16" ht="15" thickBot="1">
      <c r="A213" s="47" t="s">
        <v>64</v>
      </c>
      <c r="B213" s="48">
        <f>COUNTIFS(Table16[ฝ่าย],A213,Table16[สัปดาห์แจ้งซ่อม],2)</f>
        <v>0</v>
      </c>
      <c r="C213" s="50">
        <f>B213/B217</f>
        <v>0</v>
      </c>
      <c r="D213" s="44" t="str">
        <f>IF(COUNTIFS(Table16[ประเภท],D202,Table16[ฝ่าย],A213,Table16[สัปดาห์แจ้งซ่อม],"2")=0,"-",COUNTIFS(Table16[ประเภท],D202,Table16[ฝ่าย],A213,Table16[สัปดาห์แจ้งซ่อม],"2"))</f>
        <v>-</v>
      </c>
      <c r="E213" s="44" t="str">
        <f>IF(COUNTIFS(Table16[ประเภท],E202,Table16[ฝ่าย],A213,Table16[สัปดาห์แจ้งซ่อม],"2")=0,"-",COUNTIFS(Table16[ประเภท],E202,Table16[ฝ่าย],A213,Table16[สัปดาห์แจ้งซ่อม],"2"))</f>
        <v>-</v>
      </c>
      <c r="F213" s="44" t="str">
        <f>IF(COUNTIFS(Table16[ประเภท],F202,Table16[ฝ่าย],A213,Table16[สัปดาห์แจ้งซ่อม],"2")=0,"-",COUNTIFS(Table16[ประเภท],F202,Table16[ฝ่าย],A213,Table16[สัปดาห์แจ้งซ่อม],"2"))</f>
        <v>-</v>
      </c>
      <c r="G213" s="44" t="str">
        <f>IF(COUNTIFS(Table16[ประเภท],G202,Table16[ฝ่าย],A213,Table16[สัปดาห์แจ้งซ่อม],"2")=0,"-",COUNTIFS(Table16[ประเภท],G202,Table16[ฝ่าย],A213,Table16[สัปดาห์แจ้งซ่อม],"2"))</f>
        <v>-</v>
      </c>
      <c r="H213" s="44" t="str">
        <f>IF(COUNTIFS(Table16[ประเภท],H202,Table16[ฝ่าย],A213,Table16[สัปดาห์แจ้งซ่อม],"2")=0,"-",COUNTIFS(Table16[ประเภท],H202,Table16[ฝ่าย],A213,Table16[สัปดาห์แจ้งซ่อม],"2"))</f>
        <v>-</v>
      </c>
      <c r="I213" s="44" t="str">
        <f>IF(COUNTIFS(Table16[ประเภท],I202,Table16[ฝ่าย],A213,Table16[สัปดาห์แจ้งซ่อม],"2")=0,"-",COUNTIFS(Table16[ประเภท],I202,Table16[ฝ่าย],A213,Table16[สัปดาห์แจ้งซ่อม],"2"))</f>
        <v>-</v>
      </c>
      <c r="J213" s="44" t="str">
        <f>IF(COUNTIFS(Table16[ประเภท],J202,Table16[ฝ่าย],A213,Table16[สัปดาห์แจ้งซ่อม],"2")=0,"-",COUNTIFS(Table16[ประเภท],J202,Table16[ฝ่าย],A213,Table16[สัปดาห์แจ้งซ่อม],"2"))</f>
        <v>-</v>
      </c>
      <c r="K213" s="44" t="str">
        <f>IF(COUNTIFS(Table16[ประเภท],K202,Table16[ฝ่าย],A213,Table16[สัปดาห์แจ้งซ่อม],"2")=0,"-",COUNTIFS(Table16[ประเภท],K202,Table16[ฝ่าย],A213,Table16[สัปดาห์แจ้งซ่อม],"2"))</f>
        <v>-</v>
      </c>
      <c r="L213" s="44" t="str">
        <f>IF(COUNTIFS(Table16[ประเภท],L202,Table16[ฝ่าย],A213,Table16[สัปดาห์แจ้งซ่อม],"2")=0,"-",COUNTIFS(Table16[ประเภท],L202,Table16[ฝ่าย],A213,Table16[สัปดาห์แจ้งซ่อม],"2"))</f>
        <v>-</v>
      </c>
      <c r="M213" s="44" t="str">
        <f>IF(COUNTIFS(Table16[ประเภท],M202,Table16[ฝ่าย],A213,Table16[สัปดาห์แจ้งซ่อม],"2")=0,"-",COUNTIFS(Table16[ประเภท],M202,Table16[ฝ่าย],A213,Table16[สัปดาห์แจ้งซ่อม],"2"))</f>
        <v>-</v>
      </c>
      <c r="N213" s="44" t="str">
        <f>IF(COUNTIFS(Table16[ประเภท],N202,Table16[ฝ่าย],A213,Table16[สัปดาห์แจ้งซ่อม],"2")=0,"-",COUNTIFS(Table16[ประเภท],N202,Table16[ฝ่าย],A213,Table16[สัปดาห์แจ้งซ่อม],"2"))</f>
        <v>-</v>
      </c>
      <c r="O213" s="162"/>
      <c r="P213" s="190" t="str">
        <f>IF(COUNTIFS(Table16[ประเภท],P202,Table16[ฝ่าย],A213,Table16[สัปดาห์แจ้งซ่อม],"2")=0,"-",COUNTIFS(Table16[ประเภท],P202,Table16[ฝ่าย],A213,Table16[สัปดาห์แจ้งซ่อม],"2"))</f>
        <v>-</v>
      </c>
    </row>
    <row r="214" spans="1:16" ht="15" thickBot="1">
      <c r="A214" s="47" t="s">
        <v>65</v>
      </c>
      <c r="B214" s="48">
        <f>COUNTIFS(Table16[ฝ่าย],A214,Table16[สัปดาห์แจ้งซ่อม],2)</f>
        <v>0</v>
      </c>
      <c r="C214" s="50">
        <f>B214/B217</f>
        <v>0</v>
      </c>
      <c r="D214" s="44" t="str">
        <f>IF(COUNTIFS(Table16[ประเภท],D202,Table16[ฝ่าย],A214,Table16[สัปดาห์แจ้งซ่อม],"2")=0,"-",COUNTIFS(Table16[ประเภท],D202,Table16[ฝ่าย],A214,Table16[สัปดาห์แจ้งซ่อม],"2"))</f>
        <v>-</v>
      </c>
      <c r="E214" s="44" t="str">
        <f>IF(COUNTIFS(Table16[ประเภท],E202,Table16[ฝ่าย],A214,Table16[สัปดาห์แจ้งซ่อม],"2")=0,"-",COUNTIFS(Table16[ประเภท],E202,Table16[ฝ่าย],A214,Table16[สัปดาห์แจ้งซ่อม],"2"))</f>
        <v>-</v>
      </c>
      <c r="F214" s="44" t="str">
        <f>IF(COUNTIFS(Table16[ประเภท],F202,Table16[ฝ่าย],A214,Table16[สัปดาห์แจ้งซ่อม],"2")=0,"-",COUNTIFS(Table16[ประเภท],F202,Table16[ฝ่าย],A214,Table16[สัปดาห์แจ้งซ่อม],"2"))</f>
        <v>-</v>
      </c>
      <c r="G214" s="44" t="str">
        <f>IF(COUNTIFS(Table16[ประเภท],G202,Table16[ฝ่าย],A214,Table16[สัปดาห์แจ้งซ่อม],"2")=0,"-",COUNTIFS(Table16[ประเภท],G202,Table16[ฝ่าย],A214,Table16[สัปดาห์แจ้งซ่อม],"2"))</f>
        <v>-</v>
      </c>
      <c r="H214" s="44" t="str">
        <f>IF(COUNTIFS(Table16[ประเภท],H202,Table16[ฝ่าย],A214,Table16[สัปดาห์แจ้งซ่อม],"2")=0,"-",COUNTIFS(Table16[ประเภท],H202,Table16[ฝ่าย],A214,Table16[สัปดาห์แจ้งซ่อม],"2"))</f>
        <v>-</v>
      </c>
      <c r="I214" s="44" t="str">
        <f>IF(COUNTIFS(Table16[ประเภท],I202,Table16[ฝ่าย],A214,Table16[สัปดาห์แจ้งซ่อม],"2")=0,"-",COUNTIFS(Table16[ประเภท],I202,Table16[ฝ่าย],A214,Table16[สัปดาห์แจ้งซ่อม],"2"))</f>
        <v>-</v>
      </c>
      <c r="J214" s="44" t="str">
        <f>IF(COUNTIFS(Table16[ประเภท],J202,Table16[ฝ่าย],A214,Table16[สัปดาห์แจ้งซ่อม],"2")=0,"-",COUNTIFS(Table16[ประเภท],J202,Table16[ฝ่าย],A214,Table16[สัปดาห์แจ้งซ่อม],"2"))</f>
        <v>-</v>
      </c>
      <c r="K214" s="44" t="str">
        <f>IF(COUNTIFS(Table16[ประเภท],K202,Table16[ฝ่าย],A214,Table16[สัปดาห์แจ้งซ่อม],"2")=0,"-",COUNTIFS(Table16[ประเภท],K202,Table16[ฝ่าย],A214,Table16[สัปดาห์แจ้งซ่อม],"2"))</f>
        <v>-</v>
      </c>
      <c r="L214" s="44" t="str">
        <f>IF(COUNTIFS(Table16[ประเภท],L202,Table16[ฝ่าย],A214,Table16[สัปดาห์แจ้งซ่อม],"2")=0,"-",COUNTIFS(Table16[ประเภท],L202,Table16[ฝ่าย],A214,Table16[สัปดาห์แจ้งซ่อม],"2"))</f>
        <v>-</v>
      </c>
      <c r="M214" s="44" t="str">
        <f>IF(COUNTIFS(Table16[ประเภท],M202,Table16[ฝ่าย],A214,Table16[สัปดาห์แจ้งซ่อม],"2")=0,"-",COUNTIFS(Table16[ประเภท],M202,Table16[ฝ่าย],A214,Table16[สัปดาห์แจ้งซ่อม],"2"))</f>
        <v>-</v>
      </c>
      <c r="N214" s="44" t="str">
        <f>IF(COUNTIFS(Table16[ประเภท],N202,Table16[ฝ่าย],A214,Table16[สัปดาห์แจ้งซ่อม],"2")=0,"-",COUNTIFS(Table16[ประเภท],N202,Table16[ฝ่าย],A214,Table16[สัปดาห์แจ้งซ่อม],"2"))</f>
        <v>-</v>
      </c>
      <c r="O214" s="162"/>
      <c r="P214" s="190" t="str">
        <f>IF(COUNTIFS(Table16[ประเภท],P202,Table16[ฝ่าย],A214,Table16[สัปดาห์แจ้งซ่อม],"2")=0,"-",COUNTIFS(Table16[ประเภท],P202,Table16[ฝ่าย],A214,Table16[สัปดาห์แจ้งซ่อม],"2"))</f>
        <v>-</v>
      </c>
    </row>
    <row r="215" spans="1:16" ht="15" thickBot="1">
      <c r="A215" s="47" t="s">
        <v>66</v>
      </c>
      <c r="B215" s="48">
        <f>COUNTIFS(Table16[ฝ่าย],A215,Table16[สัปดาห์แจ้งซ่อม],2)</f>
        <v>0</v>
      </c>
      <c r="C215" s="50">
        <f>B215/B217</f>
        <v>0</v>
      </c>
      <c r="D215" s="44" t="str">
        <f>IF(COUNTIFS(Table16[ประเภท],D202,Table16[ฝ่าย],A215,Table16[สัปดาห์แจ้งซ่อม],"2")=0,"-",COUNTIFS(Table16[ประเภท],D202,Table16[ฝ่าย],A212,Table16[สัปดาห์แจ้งซ่อม],"2"))</f>
        <v>-</v>
      </c>
      <c r="E215" s="44" t="str">
        <f>IF(COUNTIFS(Table16[ประเภท],E202,Table16[ฝ่าย],A215,Table16[สัปดาห์แจ้งซ่อม],"2")=0,"-",COUNTIFS(Table16[ประเภท],E202,Table16[ฝ่าย],A212,Table16[สัปดาห์แจ้งซ่อม],"2"))</f>
        <v>-</v>
      </c>
      <c r="F215" s="44" t="str">
        <f>IF(COUNTIFS(Table16[ประเภท],F202,Table16[ฝ่าย],A215,Table16[สัปดาห์แจ้งซ่อม],"2")=0,"-",COUNTIFS(Table16[ประเภท],F202,Table16[ฝ่าย],A215,Table16[สัปดาห์แจ้งซ่อม],"2"))</f>
        <v>-</v>
      </c>
      <c r="G215" s="44" t="str">
        <f>IF(COUNTIFS(Table16[ประเภท],G202,Table16[ฝ่าย],A215,Table16[สัปดาห์แจ้งซ่อม],"2")=0,"-",COUNTIFS(Table16[ประเภท],G202,Table16[ฝ่าย],A215,Table16[สัปดาห์แจ้งซ่อม],"2"))</f>
        <v>-</v>
      </c>
      <c r="H215" s="44" t="str">
        <f>IF(COUNTIFS(Table16[ประเภท],H202,Table16[ฝ่าย],A215,Table16[สัปดาห์แจ้งซ่อม],"2")=0,"-",COUNTIFS(Table16[ประเภท],H202,Table16[ฝ่าย],A215,Table16[สัปดาห์แจ้งซ่อม],"2"))</f>
        <v>-</v>
      </c>
      <c r="I215" s="44" t="str">
        <f>IF(COUNTIFS(Table16[ประเภท],I202,Table16[ฝ่าย],A215,Table16[สัปดาห์แจ้งซ่อม],"2")=0,"-",COUNTIFS(Table16[ประเภท],I202,Table16[ฝ่าย],A215,Table16[สัปดาห์แจ้งซ่อม],"2"))</f>
        <v>-</v>
      </c>
      <c r="J215" s="44" t="str">
        <f>IF(COUNTIFS(Table16[ประเภท],J202,Table16[ฝ่าย],A215,Table16[สัปดาห์แจ้งซ่อม],"2")=0,"-",COUNTIFS(Table16[ประเภท],J202,Table16[ฝ่าย],A215,Table16[สัปดาห์แจ้งซ่อม],"2"))</f>
        <v>-</v>
      </c>
      <c r="K215" s="44" t="str">
        <f>IF(COUNTIFS(Table16[ประเภท],K202,Table16[ฝ่าย],A215,Table16[สัปดาห์แจ้งซ่อม],"2")=0,"-",COUNTIFS(Table16[ประเภท],K202,Table16[ฝ่าย],A215,Table16[สัปดาห์แจ้งซ่อม],"2"))</f>
        <v>-</v>
      </c>
      <c r="L215" s="44" t="str">
        <f>IF(COUNTIFS(Table16[ประเภท],L202,Table16[ฝ่าย],A215,Table16[สัปดาห์แจ้งซ่อม],"2")=0,"-",COUNTIFS(Table16[ประเภท],L202,Table16[ฝ่าย],A215,Table16[สัปดาห์แจ้งซ่อม],"2"))</f>
        <v>-</v>
      </c>
      <c r="M215" s="44" t="str">
        <f>IF(COUNTIFS(Table16[ประเภท],M202,Table16[ฝ่าย],A215,Table16[สัปดาห์แจ้งซ่อม],"2")=0,"-",COUNTIFS(Table16[ประเภท],M202,Table16[ฝ่าย],A215,Table16[สัปดาห์แจ้งซ่อม],"2"))</f>
        <v>-</v>
      </c>
      <c r="N215" s="44" t="str">
        <f>IF(COUNTIFS(Table16[ประเภท],N202,Table16[ฝ่าย],A215,Table16[สัปดาห์แจ้งซ่อม],"2")=0,"-",COUNTIFS(Table16[ประเภท],N202,Table16[ฝ่าย],A215,Table16[สัปดาห์แจ้งซ่อม],"2"))</f>
        <v>-</v>
      </c>
      <c r="O215" s="162"/>
      <c r="P215" s="190" t="str">
        <f>IF(COUNTIFS(Table16[ประเภท],P202,Table16[ฝ่าย],A215,Table16[สัปดาห์แจ้งซ่อม],"2")=0,"-",COUNTIFS(Table16[ประเภท],P202,Table16[ฝ่าย],A215,Table16[สัปดาห์แจ้งซ่อม],"2"))</f>
        <v>-</v>
      </c>
    </row>
    <row r="216" spans="1:16" ht="15" thickBot="1">
      <c r="A216" s="47" t="s">
        <v>120</v>
      </c>
      <c r="B216" s="48">
        <f>COUNTIFS(Table16[ฝ่าย],A216,Table16[สัปดาห์แจ้งซ่อม],2)</f>
        <v>2</v>
      </c>
      <c r="C216" s="50">
        <f>B216/B217</f>
        <v>0.14285714285714285</v>
      </c>
      <c r="D216" s="44" t="str">
        <f>IF(COUNTIFS(Table16[ประเภท],D202,Table16[ฝ่าย],A216,Table16[สัปดาห์แจ้งซ่อม],"2")=0,"-",COUNTIFS(Table16[ประเภท],D202,Table16[ฝ่าย],A216,Table16[สัปดาห์แจ้งซ่อม],"2"))</f>
        <v>-</v>
      </c>
      <c r="E216" s="44" t="str">
        <f>IF(COUNTIFS(Table16[ประเภท],E202,Table16[ฝ่าย],A216,Table16[สัปดาห์แจ้งซ่อม],"2")=0,"-",COUNTIFS(Table16[ประเภท],E202,Table16[ฝ่าย],A216,Table16[สัปดาห์แจ้งซ่อม],"2"))</f>
        <v>-</v>
      </c>
      <c r="F216" s="44" t="str">
        <f>IF(COUNTIFS(Table16[ประเภท],F202,Table16[ฝ่าย],A216,Table16[สัปดาห์แจ้งซ่อม],"2")=0,"-",COUNTIFS(Table16[ประเภท],F202,Table16[ฝ่าย],A216,Table16[สัปดาห์แจ้งซ่อม],"2"))</f>
        <v>-</v>
      </c>
      <c r="G216" s="44" t="str">
        <f>IF(COUNTIFS(Table16[ประเภท],G202,Table16[ฝ่าย],A216,Table16[สัปดาห์แจ้งซ่อม],"2")=0,"-",COUNTIFS(Table16[ประเภท],G202,Table16[ฝ่าย],A216,Table16[สัปดาห์แจ้งซ่อม],"2"))</f>
        <v>-</v>
      </c>
      <c r="H216" s="44">
        <f>IF(COUNTIFS(Table16[ประเภท],H202,Table16[ฝ่าย],A216,Table16[สัปดาห์แจ้งซ่อม],"2")=0,"-",COUNTIFS(Table16[ประเภท],H202,Table16[ฝ่าย],A216,Table16[สัปดาห์แจ้งซ่อม],"2"))</f>
        <v>1</v>
      </c>
      <c r="I216" s="44" t="str">
        <f>IF(COUNTIFS(Table16[ประเภท],I202,Table16[ฝ่าย],A216,Table16[สัปดาห์แจ้งซ่อม],"2")=0,"-",COUNTIFS(Table16[ประเภท],I202,Table16[ฝ่าย],A216,Table16[สัปดาห์แจ้งซ่อม],"2"))</f>
        <v>-</v>
      </c>
      <c r="J216" s="44" t="str">
        <f>IF(COUNTIFS(Table16[ประเภท],J202,Table16[ฝ่าย],A216,Table16[สัปดาห์แจ้งซ่อม],"2")=0,"-",COUNTIFS(Table16[ประเภท],J202,Table16[ฝ่าย],A216,Table16[สัปดาห์แจ้งซ่อม],"2"))</f>
        <v>-</v>
      </c>
      <c r="K216" s="44" t="str">
        <f>IF(COUNTIFS(Table16[ประเภท],K202,Table16[ฝ่าย],A216,Table16[สัปดาห์แจ้งซ่อม],"2")=0,"-",COUNTIFS(Table16[ประเภท],K202,Table16[ฝ่าย],A216,Table16[สัปดาห์แจ้งซ่อม],"2"))</f>
        <v>-</v>
      </c>
      <c r="L216" s="44" t="str">
        <f>IF(COUNTIFS(Table16[ประเภท],L202,Table16[ฝ่าย],A216,Table16[สัปดาห์แจ้งซ่อม],"2")=0,"-",COUNTIFS(Table16[ประเภท],L202,Table16[ฝ่าย],A216,Table16[สัปดาห์แจ้งซ่อม],"2"))</f>
        <v>-</v>
      </c>
      <c r="M216" s="44" t="str">
        <f>IF(COUNTIFS(Table16[ประเภท],M202,Table16[ฝ่าย],A216,Table16[สัปดาห์แจ้งซ่อม],"2")=0,"-",COUNTIFS(Table16[ประเภท],M202,Table16[ฝ่าย],A216,Table16[สัปดาห์แจ้งซ่อม],"2"))</f>
        <v>-</v>
      </c>
      <c r="N216" s="44">
        <f>IF(COUNTIFS(Table16[ประเภท],N202,Table16[ฝ่าย],A216,Table16[สัปดาห์แจ้งซ่อม],"2")=0,"-",COUNTIFS(Table16[ประเภท],N202,Table16[ฝ่าย],A216,Table16[สัปดาห์แจ้งซ่อม],"2"))</f>
        <v>1</v>
      </c>
      <c r="O216" s="162"/>
      <c r="P216" s="190" t="str">
        <f>IF(COUNTIFS(Table16[ประเภท],P202,Table16[ฝ่าย],A216,Table16[สัปดาห์แจ้งซ่อม],"2")=0,"-",COUNTIFS(Table16[ประเภท],P202,Table16[ฝ่าย],A216,Table16[สัปดาห์แจ้งซ่อม],"2"))</f>
        <v>-</v>
      </c>
    </row>
    <row r="217" spans="1:16" ht="15" thickBot="1">
      <c r="A217" s="51" t="s">
        <v>67</v>
      </c>
      <c r="B217" s="52">
        <f>SUM(B203:B216)</f>
        <v>14</v>
      </c>
      <c r="C217" s="53">
        <f t="shared" ref="C217" si="15">SUM(C203:C215)</f>
        <v>0.8571428571428571</v>
      </c>
      <c r="D217" s="52">
        <f>SUM(D203:D216)</f>
        <v>0</v>
      </c>
      <c r="E217" s="52">
        <f t="shared" ref="E217:P217" si="16">SUM(E203:E216)</f>
        <v>3</v>
      </c>
      <c r="F217" s="52">
        <f t="shared" si="16"/>
        <v>3</v>
      </c>
      <c r="G217" s="52">
        <f t="shared" si="16"/>
        <v>1</v>
      </c>
      <c r="H217" s="52">
        <f t="shared" si="16"/>
        <v>1</v>
      </c>
      <c r="I217" s="52">
        <f t="shared" si="16"/>
        <v>0</v>
      </c>
      <c r="J217" s="52">
        <f t="shared" si="16"/>
        <v>2</v>
      </c>
      <c r="K217" s="52">
        <f t="shared" si="16"/>
        <v>2</v>
      </c>
      <c r="L217" s="52">
        <f t="shared" si="16"/>
        <v>1</v>
      </c>
      <c r="M217" s="52">
        <f t="shared" si="16"/>
        <v>0</v>
      </c>
      <c r="N217" s="52">
        <f t="shared" si="16"/>
        <v>1</v>
      </c>
      <c r="O217" s="163">
        <f t="shared" si="16"/>
        <v>0</v>
      </c>
      <c r="P217" s="163">
        <f t="shared" si="16"/>
        <v>0</v>
      </c>
    </row>
    <row r="218" spans="1:16" ht="15" thickBot="1">
      <c r="A218" s="54" t="s">
        <v>68</v>
      </c>
      <c r="B218" s="55">
        <f>COUNTIFS(Table16[สถานะ],"เรียบร้อย",Table16[สัปดาห์ที่แก้ไข],2)</f>
        <v>3</v>
      </c>
      <c r="C218" s="56"/>
      <c r="D218" s="2"/>
      <c r="E218" s="2"/>
      <c r="F218" s="2"/>
      <c r="G218" s="2"/>
      <c r="H218" s="2"/>
      <c r="I218" s="2"/>
      <c r="J218" s="2"/>
      <c r="K218" s="2"/>
      <c r="L218" s="2"/>
    </row>
    <row r="219" spans="1:16" ht="15" thickBot="1">
      <c r="A219" s="57" t="s">
        <v>69</v>
      </c>
      <c r="B219" s="58">
        <f>COUNTIFS(Table16[สถานะ],"กำลังดำเนินการ",Table16[สัปดาห์แจ้งซ่อม],2)</f>
        <v>0</v>
      </c>
      <c r="C219" s="56"/>
      <c r="D219" s="2"/>
      <c r="E219" s="2"/>
      <c r="F219" s="2"/>
      <c r="G219" s="2"/>
      <c r="H219" s="2"/>
      <c r="I219" s="2"/>
      <c r="J219" s="2"/>
      <c r="K219" s="2"/>
      <c r="L219" s="2"/>
    </row>
    <row r="220" spans="1:16" ht="15" thickBot="1">
      <c r="A220" s="59" t="s">
        <v>3</v>
      </c>
      <c r="B220" s="60">
        <f>COUNTIFS(Table16[สถานะ],"รอดำเนินการ",Table16[สัปดาห์แจ้งซ่อม],2)</f>
        <v>0</v>
      </c>
      <c r="C220" s="56"/>
      <c r="D220" s="2"/>
      <c r="E220" s="2"/>
      <c r="F220" s="2"/>
      <c r="G220" s="2"/>
      <c r="H220" s="2"/>
      <c r="I220" s="2"/>
      <c r="J220" s="2"/>
      <c r="K220" s="2"/>
      <c r="L220" s="2"/>
    </row>
    <row r="221" spans="1:16" ht="16.2" thickBot="1">
      <c r="A221" s="61" t="s">
        <v>70</v>
      </c>
      <c r="B221" s="62">
        <f>COUNTIFS(Table16[สถานะ],"โอนย้าย",Table16[สัปดาห์แจ้งซ่อม],2)</f>
        <v>7</v>
      </c>
    </row>
    <row r="222" spans="1:16" ht="37.200000000000003" customHeight="1" thickBot="1">
      <c r="A222" s="302" t="s">
        <v>459</v>
      </c>
      <c r="B222" s="303"/>
      <c r="C222" s="303"/>
      <c r="D222" s="303"/>
      <c r="E222" s="303"/>
      <c r="F222" s="303"/>
      <c r="G222" s="303"/>
      <c r="H222" s="303"/>
      <c r="I222" s="303"/>
      <c r="J222" s="303"/>
      <c r="K222" s="303"/>
      <c r="L222" s="303"/>
      <c r="M222" s="303"/>
      <c r="N222" s="303"/>
      <c r="O222" s="303"/>
      <c r="P222" s="303"/>
    </row>
    <row r="223" spans="1:16" ht="18.600000000000001" thickBot="1">
      <c r="A223" s="304" t="s">
        <v>368</v>
      </c>
      <c r="B223" s="304" t="s">
        <v>42</v>
      </c>
      <c r="C223" s="306" t="s">
        <v>43</v>
      </c>
      <c r="D223" s="308" t="s">
        <v>44</v>
      </c>
      <c r="E223" s="309"/>
      <c r="F223" s="309"/>
      <c r="G223" s="309"/>
      <c r="H223" s="309"/>
      <c r="I223" s="309"/>
      <c r="J223" s="309"/>
      <c r="K223" s="309"/>
      <c r="L223" s="309"/>
      <c r="M223" s="309"/>
      <c r="N223" s="309"/>
      <c r="O223" s="309"/>
      <c r="P223" s="309"/>
    </row>
    <row r="224" spans="1:16" ht="15" thickBot="1">
      <c r="A224" s="305"/>
      <c r="B224" s="305"/>
      <c r="C224" s="307"/>
      <c r="D224" s="43" t="s">
        <v>45</v>
      </c>
      <c r="E224" s="43" t="s">
        <v>46</v>
      </c>
      <c r="F224" s="44" t="s">
        <v>47</v>
      </c>
      <c r="G224" s="44" t="s">
        <v>48</v>
      </c>
      <c r="H224" s="44" t="s">
        <v>49</v>
      </c>
      <c r="I224" s="44" t="s">
        <v>50</v>
      </c>
      <c r="J224" s="44" t="s">
        <v>51</v>
      </c>
      <c r="K224" s="44" t="s">
        <v>52</v>
      </c>
      <c r="L224" s="45" t="s">
        <v>53</v>
      </c>
      <c r="M224" s="46" t="s">
        <v>72</v>
      </c>
      <c r="N224" s="46" t="s">
        <v>117</v>
      </c>
      <c r="O224" s="189" t="s">
        <v>376</v>
      </c>
      <c r="P224" s="189" t="s">
        <v>357</v>
      </c>
    </row>
    <row r="225" spans="1:16" ht="15" thickBot="1">
      <c r="A225" s="47" t="s">
        <v>54</v>
      </c>
      <c r="B225" s="65">
        <f>COUNTIFS(Table16[ฝ่าย],A225,Table16[สัปดาห์แจ้งซ่อม],3)</f>
        <v>4</v>
      </c>
      <c r="C225" s="49">
        <f>B225/B239</f>
        <v>0.5714285714285714</v>
      </c>
      <c r="D225" s="44" t="str">
        <f>IF(COUNTIFS(Table16[ประเภท],D224,Table16[ฝ่าย],A225,Table16[สัปดาห์แจ้งซ่อม],"3")=0,"-",COUNTIFS(Table16[ประเภท],D224,Table16[ฝ่าย],A225,Table16[สัปดาห์แจ้งซ่อม],"3"))</f>
        <v>-</v>
      </c>
      <c r="E225" s="44" t="str">
        <f>IF(COUNTIFS(Table16[ประเภท],E224,Table16[ฝ่าย],A225,Table16[สัปดาห์แจ้งซ่อม],"3")=0,"-",COUNTIFS(Table16[ประเภท],E224,Table16[ฝ่าย],A225,Table16[สัปดาห์แจ้งซ่อม],"3"))</f>
        <v>-</v>
      </c>
      <c r="F225" s="44" t="str">
        <f>IF(COUNTIFS(Table16[ประเภท],F224,Table16[ฝ่าย],A225,Table16[สัปดาห์แจ้งซ่อม],"3")=0,"-",COUNTIFS(Table16[ประเภท],F224,Table16[ฝ่าย],A225,Table16[สัปดาห์แจ้งซ่อม],"3"))</f>
        <v>-</v>
      </c>
      <c r="G225" s="44" t="str">
        <f>IF(COUNTIFS(Table16[ประเภท],G224,Table16[ฝ่าย],A225,Table16[สัปดาห์แจ้งซ่อม],"3")=0,"-",COUNTIFS(Table16[ประเภท],G224,Table16[ฝ่าย],A225,Table16[สัปดาห์แจ้งซ่อม],"3"))</f>
        <v>-</v>
      </c>
      <c r="H225" s="44" t="str">
        <f>IF(COUNTIFS(Table16[ประเภท],H224,Table16[ฝ่าย],A225,Table16[สัปดาห์แจ้งซ่อม],"3")=0,"-",COUNTIFS(Table16[ประเภท],H224,Table16[ฝ่าย],A225,Table16[สัปดาห์แจ้งซ่อม],"3"))</f>
        <v>-</v>
      </c>
      <c r="I225" s="44" t="str">
        <f>IF(COUNTIFS(Table16[ประเภท],I224,Table16[ฝ่าย],A225,Table16[สัปดาห์แจ้งซ่อม],"3")=0,"-",COUNTIFS(Table16[ประเภท],I224,Table16[ฝ่าย],A225,Table16[สัปดาห์แจ้งซ่อม],"3"))</f>
        <v>-</v>
      </c>
      <c r="J225" s="44">
        <f>IF(COUNTIFS(Table16[ประเภท],J224,Table16[ฝ่าย],A225,Table16[สัปดาห์แจ้งซ่อม],"3")=0,"-",COUNTIFS(Table16[ประเภท],J224,Table16[ฝ่าย],A225,Table16[สัปดาห์แจ้งซ่อม],"3"))</f>
        <v>1</v>
      </c>
      <c r="K225" s="44">
        <f>IF(COUNTIFS(Table16[ประเภท],K224,Table16[ฝ่าย],A225,Table16[สัปดาห์แจ้งซ่อม],"3")=0,"-",COUNTIFS(Table16[ประเภท],K224,Table16[ฝ่าย],A225,Table16[สัปดาห์แจ้งซ่อม],"3"))</f>
        <v>2</v>
      </c>
      <c r="L225" s="44">
        <f>IF(COUNTIFS(Table16[ประเภท],L224,Table16[ฝ่าย],A225,Table16[สัปดาห์แจ้งซ่อม],"3")=0,"-",COUNTIFS(Table16[ประเภท],L224,Table16[ฝ่าย],A225,Table16[สัปดาห์แจ้งซ่อม],"3"))</f>
        <v>1</v>
      </c>
      <c r="M225" s="44" t="str">
        <f>IF(COUNTIFS(Table16[ประเภท],M224,Table16[ฝ่าย],A225,Table16[สัปดาห์แจ้งซ่อม],"3")=0,"-",COUNTIFS(Table16[ประเภท],M224,Table16[ฝ่าย],A225,Table16[สัปดาห์แจ้งซ่อม],"3"))</f>
        <v>-</v>
      </c>
      <c r="N225" s="44" t="str">
        <f>IF(COUNTIFS(Table16[ประเภท],N224,Table16[ฝ่าย],A225,Table16[สัปดาห์แจ้งซ่อม],"3")=0,"-",COUNTIFS(Table16[ประเภท],N224,Table16[ฝ่าย],A225,Table16[สัปดาห์แจ้งซ่อม],"3"))</f>
        <v>-</v>
      </c>
      <c r="O225" s="201" t="str">
        <f>IF(COUNTIFS(Table16[ประเภท],O224,Table16[ฝ่าย],A225,Table16[สัปดาห์แจ้งซ่อม],"3")=0,"-",COUNTIFS(Table16[ประเภท],O224,Table16[ฝ่าย],A225,Table16[สัปดาห์แจ้งซ่อม],"3"))</f>
        <v>-</v>
      </c>
      <c r="P225" s="189" t="str">
        <f>IF(COUNTIFS(Table16[ประเภท],P224,Table16[ฝ่าย],A225,Table16[สัปดาห์แจ้งซ่อม],"3")=0,"-",COUNTIFS(Table16[ประเภท],P224,Table16[ฝ่าย],A225,Table16[สัปดาห์แจ้งซ่อม],"3"))</f>
        <v>-</v>
      </c>
    </row>
    <row r="226" spans="1:16" ht="15" thickBot="1">
      <c r="A226" s="47" t="s">
        <v>55</v>
      </c>
      <c r="B226" s="65">
        <f>COUNTIFS(Table16[ฝ่าย],A226,Table16[สัปดาห์แจ้งซ่อม],3)</f>
        <v>1</v>
      </c>
      <c r="C226" s="49">
        <f>B226/B239</f>
        <v>0.14285714285714285</v>
      </c>
      <c r="D226" s="44" t="str">
        <f>IF(COUNTIFS(Table16[ประเภท],D224,Table16[ฝ่าย],A226,Table16[สัปดาห์แจ้งซ่อม],"3")=0,"-",COUNTIFS(Table16[ประเภท],D224,Table16[ฝ่าย],A226,Table16[สัปดาห์แจ้งซ่อม],"3"))</f>
        <v>-</v>
      </c>
      <c r="E226" s="44" t="str">
        <f>IF(COUNTIFS(Table16[ประเภท],E224,Table16[ฝ่าย],A226,Table16[สัปดาห์แจ้งซ่อม],"3")=0,"-",COUNTIFS(Table16[ประเภท],E224,Table16[ฝ่าย],A226,Table16[สัปดาห์แจ้งซ่อม],"3"))</f>
        <v>-</v>
      </c>
      <c r="F226" s="44" t="str">
        <f>IF(COUNTIFS(Table16[ประเภท],F224,Table16[ฝ่าย],A226,Table16[สัปดาห์แจ้งซ่อม],"3")=0,"-",COUNTIFS(Table16[ประเภท],F224,Table16[ฝ่าย],A226,Table16[สัปดาห์แจ้งซ่อม],"3"))</f>
        <v>-</v>
      </c>
      <c r="G226" s="44" t="str">
        <f>IF(COUNTIFS(Table16[ประเภท],G224,Table16[ฝ่าย],A226,Table16[สัปดาห์แจ้งซ่อม],"3")=0,"-",COUNTIFS(Table16[ประเภท],G224,Table16[ฝ่าย],A226,Table16[สัปดาห์แจ้งซ่อม],"3"))</f>
        <v>-</v>
      </c>
      <c r="H226" s="44" t="str">
        <f>IF(COUNTIFS(Table16[ประเภท],H224,Table16[ฝ่าย],A226,Table16[สัปดาห์แจ้งซ่อม],"3")=0,"-",COUNTIFS(Table16[ประเภท],H224,Table16[ฝ่าย],A226,Table16[สัปดาห์แจ้งซ่อม],"3"))</f>
        <v>-</v>
      </c>
      <c r="I226" s="44">
        <f>IF(COUNTIFS(Table16[ประเภท],I224,Table16[ฝ่าย],A226,Table16[สัปดาห์แจ้งซ่อม],"3")=0,"-",COUNTIFS(Table16[ประเภท],I224,Table16[ฝ่าย],A226,Table16[สัปดาห์แจ้งซ่อม],"3"))</f>
        <v>1</v>
      </c>
      <c r="J226" s="44" t="str">
        <f>IF(COUNTIFS(Table16[ประเภท],J224,Table16[ฝ่าย],A226,Table16[สัปดาห์แจ้งซ่อม],"3")=0,"-",COUNTIFS(Table16[ประเภท],J224,Table16[ฝ่าย],A226,Table16[สัปดาห์แจ้งซ่อม],"3"))</f>
        <v>-</v>
      </c>
      <c r="K226" s="44" t="str">
        <f>IF(COUNTIFS(Table16[ประเภท],K224,Table16[ฝ่าย],A226,Table16[สัปดาห์แจ้งซ่อม],"3")=0,"-",COUNTIFS(Table16[ประเภท],K224,Table16[ฝ่าย],A226,Table16[สัปดาห์แจ้งซ่อม],"3"))</f>
        <v>-</v>
      </c>
      <c r="L226" s="44" t="str">
        <f>IF(COUNTIFS(Table16[ประเภท],L224,Table16[ฝ่าย],A226,Table16[สัปดาห์แจ้งซ่อม],"3")=0,"-",COUNTIFS(Table16[ประเภท],L224,Table16[ฝ่าย],A226,Table16[สัปดาห์แจ้งซ่อม],"3"))</f>
        <v>-</v>
      </c>
      <c r="M226" s="44" t="str">
        <f>IF(COUNTIFS(Table16[ประเภท],M224,Table16[ฝ่าย],A226,Table16[สัปดาห์แจ้งซ่อม],"3")=0,"-",COUNTIFS(Table16[ประเภท],M224,Table16[ฝ่าย],A226,Table16[สัปดาห์แจ้งซ่อม],"3"))</f>
        <v>-</v>
      </c>
      <c r="N226" s="44" t="str">
        <f>IF(COUNTIFS(Table16[ประเภท],N224,Table16[ฝ่าย],A226,Table16[สัปดาห์แจ้งซ่อม],"3")=0,"-",COUNTIFS(Table16[ประเภท],N224,Table16[ฝ่าย],A226,Table16[สัปดาห์แจ้งซ่อม],"3"))</f>
        <v>-</v>
      </c>
      <c r="O226" s="201"/>
      <c r="P226" s="189" t="str">
        <f>IF(COUNTIFS(Table16[ประเภท],P224,Table16[ฝ่าย],A226,Table16[สัปดาห์แจ้งซ่อม],"3")=0,"-",COUNTIFS(Table16[ประเภท],P224,Table16[ฝ่าย],A226,Table16[สัปดาห์แจ้งซ่อม],"3"))</f>
        <v>-</v>
      </c>
    </row>
    <row r="227" spans="1:16" ht="15" thickBot="1">
      <c r="A227" s="47" t="s">
        <v>56</v>
      </c>
      <c r="B227" s="65">
        <f>COUNTIFS(Table16[ฝ่าย],A227,Table16[สัปดาห์แจ้งซ่อม],3)</f>
        <v>1</v>
      </c>
      <c r="C227" s="49">
        <f>B227/B239</f>
        <v>0.14285714285714285</v>
      </c>
      <c r="D227" s="44" t="str">
        <f>IF(COUNTIFS(Table16[ประเภท],D224,Table16[ฝ่าย],A227,Table16[สัปดาห์แจ้งซ่อม],"3")=0,"-",COUNTIFS(Table16[ประเภท],D224,Table16[ฝ่าย],A227,Table16[สัปดาห์แจ้งซ่อม],"3"))</f>
        <v>-</v>
      </c>
      <c r="E227" s="44" t="str">
        <f>IF(COUNTIFS(Table16[ประเภท],E224,Table16[ฝ่าย],A227,Table16[สัปดาห์แจ้งซ่อม],"3")=0,"-",COUNTIFS(Table16[ประเภท],E224,Table16[ฝ่าย],A227,Table16[สัปดาห์แจ้งซ่อม],"3"))</f>
        <v>-</v>
      </c>
      <c r="F227" s="44" t="str">
        <f>IF(COUNTIFS(Table16[ประเภท],F224,Table16[ฝ่าย],A227,Table16[สัปดาห์แจ้งซ่อม],"3")=0,"-",COUNTIFS(Table16[ประเภท],F224,Table16[ฝ่าย],A227,Table16[สัปดาห์แจ้งซ่อม],"3"))</f>
        <v>-</v>
      </c>
      <c r="G227" s="44" t="str">
        <f>IF(COUNTIFS(Table16[ประเภท],G224,Table16[ฝ่าย],A227,Table16[สัปดาห์แจ้งซ่อม],"3")=0,"-",COUNTIFS(Table16[ประเภท],G224,Table16[ฝ่าย],A227,Table16[สัปดาห์แจ้งซ่อม],"3"))</f>
        <v>-</v>
      </c>
      <c r="H227" s="44" t="str">
        <f>IF(COUNTIFS(Table16[ประเภท],H224,Table16[ฝ่าย],A227,Table16[สัปดาห์แจ้งซ่อม],"3")=0,"-",COUNTIFS(Table16[ประเภท],H224,Table16[ฝ่าย],A227,Table16[สัปดาห์แจ้งซ่อม],"3"))</f>
        <v>-</v>
      </c>
      <c r="I227" s="44" t="str">
        <f>IF(COUNTIFS(Table16[ประเภท],I224,Table16[ฝ่าย],A227,Table16[สัปดาห์แจ้งซ่อม],"3")=0,"-",COUNTIFS(Table16[ประเภท],I224,Table16[ฝ่าย],A227,Table16[สัปดาห์แจ้งซ่อม],"3"))</f>
        <v>-</v>
      </c>
      <c r="J227" s="44" t="str">
        <f>IF(COUNTIFS(Table16[ประเภท],J224,Table16[ฝ่าย],A227,Table16[สัปดาห์แจ้งซ่อม],"3")=0,"-",COUNTIFS(Table16[ประเภท],J224,Table16[ฝ่าย],A227,Table16[สัปดาห์แจ้งซ่อม],"3"))</f>
        <v>-</v>
      </c>
      <c r="K227" s="44">
        <f>IF(COUNTIFS(Table16[ประเภท],K224,Table16[ฝ่าย],A227,Table16[สัปดาห์แจ้งซ่อม],"3")=0,"-",COUNTIFS(Table16[ประเภท],K224,Table16[ฝ่าย],A227,Table16[สัปดาห์แจ้งซ่อม],"3"))</f>
        <v>1</v>
      </c>
      <c r="L227" s="44" t="str">
        <f>IF(COUNTIFS(Table16[ประเภท],L224,Table16[ฝ่าย],A227,Table16[สัปดาห์แจ้งซ่อม],"3")=0,"-",COUNTIFS(Table16[ประเภท],L224,Table16[ฝ่าย],A227,Table16[สัปดาห์แจ้งซ่อม],"3"))</f>
        <v>-</v>
      </c>
      <c r="M227" s="44" t="str">
        <f>IF(COUNTIFS(Table16[ประเภท],M224,Table16[ฝ่าย],A227,Table16[สัปดาห์แจ้งซ่อม],"3")=0,"-",COUNTIFS(Table16[ประเภท],M224,Table16[ฝ่าย],A227,Table16[สัปดาห์แจ้งซ่อม],"3"))</f>
        <v>-</v>
      </c>
      <c r="N227" s="44" t="str">
        <f>IF(COUNTIFS(Table16[ประเภท],N224,Table16[ฝ่าย],A227,Table16[สัปดาห์แจ้งซ่อม],"3")=0,"-",COUNTIFS(Table16[ประเภท],N224,Table16[ฝ่าย],A227,Table16[สัปดาห์แจ้งซ่อม],"3"))</f>
        <v>-</v>
      </c>
      <c r="O227" s="201"/>
      <c r="P227" s="189" t="str">
        <f>IF(COUNTIFS(Table16[ประเภท],P224,Table16[ฝ่าย],A227,Table16[สัปดาห์แจ้งซ่อม],"3")=0,"-",COUNTIFS(Table16[ประเภท],P224,Table16[ฝ่าย],A227,Table16[สัปดาห์แจ้งซ่อม],"3"))</f>
        <v>-</v>
      </c>
    </row>
    <row r="228" spans="1:16" ht="15" thickBot="1">
      <c r="A228" s="47" t="s">
        <v>57</v>
      </c>
      <c r="B228" s="65">
        <f>COUNTIFS(Table16[ฝ่าย],A228,Table16[สัปดาห์แจ้งซ่อม],3)</f>
        <v>0</v>
      </c>
      <c r="C228" s="64">
        <f>B228/B239</f>
        <v>0</v>
      </c>
      <c r="D228" s="44" t="str">
        <f>IF(COUNTIFS(Table16[ประเภท],D224,Table16[ฝ่าย],A228,Table16[สัปดาห์แจ้งซ่อม],"3")=0,"-",COUNTIFS(Table16[ประเภท],D224,Table16[ฝ่าย],A228,Table16[สัปดาห์แจ้งซ่อม],"3"))</f>
        <v>-</v>
      </c>
      <c r="E228" s="44" t="str">
        <f>IF(COUNTIFS(Table16[ประเภท],E224,Table16[ฝ่าย],A228,Table16[สัปดาห์แจ้งซ่อม],"3")=0,"-",COUNTIFS(Table16[ประเภท],E224,Table16[ฝ่าย],A228,Table16[สัปดาห์แจ้งซ่อม],"3"))</f>
        <v>-</v>
      </c>
      <c r="F228" s="44" t="str">
        <f>IF(COUNTIFS(Table16[ประเภท],F224,Table16[ฝ่าย],A228,Table16[สัปดาห์แจ้งซ่อม],"3")=0,"-",COUNTIFS(Table16[ประเภท],F224,Table16[ฝ่าย],A228,Table16[สัปดาห์แจ้งซ่อม],"3"))</f>
        <v>-</v>
      </c>
      <c r="G228" s="44" t="str">
        <f>IF(COUNTIFS(Table16[ประเภท],G224,Table16[ฝ่าย],A228,Table16[สัปดาห์แจ้งซ่อม],"3")=0,"-",COUNTIFS(Table16[ประเภท],G224,Table16[ฝ่าย],A228,Table16[สัปดาห์แจ้งซ่อม],"3"))</f>
        <v>-</v>
      </c>
      <c r="H228" s="44" t="str">
        <f>IF(COUNTIFS(Table16[ประเภท],H224,Table16[ฝ่าย],A228,Table16[สัปดาห์แจ้งซ่อม],"3")=0,"-",COUNTIFS(Table16[ประเภท],H224,Table16[ฝ่าย],A228,Table16[สัปดาห์แจ้งซ่อม],"3"))</f>
        <v>-</v>
      </c>
      <c r="I228" s="44" t="str">
        <f>IF(COUNTIFS(Table16[ประเภท],I224,Table16[ฝ่าย],A228,Table16[สัปดาห์แจ้งซ่อม],"3")=0,"-",COUNTIFS(Table16[ประเภท],I224,Table16[ฝ่าย],A228,Table16[สัปดาห์แจ้งซ่อม],"3"))</f>
        <v>-</v>
      </c>
      <c r="J228" s="44" t="str">
        <f>IF(COUNTIFS(Table16[ประเภท],J224,Table16[ฝ่าย],A228,Table16[สัปดาห์แจ้งซ่อม],"3")=0,"-",COUNTIFS(Table16[ประเภท],J224,Table16[ฝ่าย],A228,Table16[สัปดาห์แจ้งซ่อม],"3"))</f>
        <v>-</v>
      </c>
      <c r="K228" s="44" t="str">
        <f>IF(COUNTIFS(Table16[ประเภท],K224,Table16[ฝ่าย],A228,Table16[สัปดาห์แจ้งซ่อม],"3")=0,"-",COUNTIFS(Table16[ประเภท],K224,Table16[ฝ่าย],A228,Table16[สัปดาห์แจ้งซ่อม],"3"))</f>
        <v>-</v>
      </c>
      <c r="L228" s="44" t="str">
        <f>IF(COUNTIFS(Table16[ประเภท],L224,Table16[ฝ่าย],A228,Table16[สัปดาห์แจ้งซ่อม],"3")=0,"-",COUNTIFS(Table16[ประเภท],L224,Table16[ฝ่าย],A228,Table16[สัปดาห์แจ้งซ่อม],"3"))</f>
        <v>-</v>
      </c>
      <c r="M228" s="44" t="str">
        <f>IF(COUNTIFS(Table16[ประเภท],M224,Table16[ฝ่าย],A228,Table16[สัปดาห์แจ้งซ่อม],"3")=0,"-",COUNTIFS(Table16[ประเภท],M224,Table16[ฝ่าย],A228,Table16[สัปดาห์แจ้งซ่อม],"3"))</f>
        <v>-</v>
      </c>
      <c r="N228" s="44" t="str">
        <f>IF(COUNTIFS(Table16[ประเภท],N224,Table16[ฝ่าย],A228,Table16[สัปดาห์แจ้งซ่อม],"3")=0,"-",COUNTIFS(Table16[ประเภท],N224,Table16[ฝ่าย],A228,Table16[สัปดาห์แจ้งซ่อม],"3"))</f>
        <v>-</v>
      </c>
      <c r="O228" s="201"/>
      <c r="P228" s="189" t="str">
        <f>IF(COUNTIFS(Table16[ประเภท],P224,Table16[ฝ่าย],A228,Table16[สัปดาห์แจ้งซ่อม],"3")=0,"-",COUNTIFS(Table16[ประเภท],P224,Table16[ฝ่าย],A228,Table16[สัปดาห์แจ้งซ่อม],"3"))</f>
        <v>-</v>
      </c>
    </row>
    <row r="229" spans="1:16" ht="15" thickBot="1">
      <c r="A229" s="47" t="s">
        <v>58</v>
      </c>
      <c r="B229" s="65">
        <f>COUNTIFS(Table16[ฝ่าย],A229,Table16[สัปดาห์แจ้งซ่อม],3)</f>
        <v>0</v>
      </c>
      <c r="C229" s="49">
        <f>B229/B239</f>
        <v>0</v>
      </c>
      <c r="D229" s="44" t="str">
        <f>IF(COUNTIFS(Table16[ประเภท],D224,Table16[ฝ่าย],A229,Table16[สัปดาห์แจ้งซ่อม],"3")=0,"-",COUNTIFS(Table16[ประเภท],D224,Table16[ฝ่าย],A229,Table16[สัปดาห์แจ้งซ่อม],"3"))</f>
        <v>-</v>
      </c>
      <c r="E229" s="44" t="str">
        <f>IF(COUNTIFS(Table16[ประเภท],E224,Table16[ฝ่าย],A229,Table16[สัปดาห์แจ้งซ่อม],"3")=0,"-",COUNTIFS(Table16[ประเภท],E224,Table16[ฝ่าย],A229,Table16[สัปดาห์แจ้งซ่อม],"3"))</f>
        <v>-</v>
      </c>
      <c r="F229" s="44" t="str">
        <f>IF(COUNTIFS(Table16[ประเภท],F224,Table16[ฝ่าย],A229,Table16[สัปดาห์แจ้งซ่อม],"3")=0,"-",COUNTIFS(Table16[ประเภท],F224,Table16[ฝ่าย],A229,Table16[สัปดาห์แจ้งซ่อม],"3"))</f>
        <v>-</v>
      </c>
      <c r="G229" s="44" t="str">
        <f>IF(COUNTIFS(Table16[ประเภท],G224,Table16[ฝ่าย],A229,Table16[สัปดาห์แจ้งซ่อม],"3")=0,"-",COUNTIFS(Table16[ประเภท],G224,Table16[ฝ่าย],A229,Table16[สัปดาห์แจ้งซ่อม],"3"))</f>
        <v>-</v>
      </c>
      <c r="H229" s="44" t="str">
        <f>IF(COUNTIFS(Table16[ประเภท],H224,Table16[ฝ่าย],A229,Table16[สัปดาห์แจ้งซ่อม],"3")=0,"-",COUNTIFS(Table16[ประเภท],H224,Table16[ฝ่าย],A229,Table16[สัปดาห์แจ้งซ่อม],"3"))</f>
        <v>-</v>
      </c>
      <c r="I229" s="44" t="str">
        <f>IF(COUNTIFS(Table16[ประเภท],I224,Table16[ฝ่าย],A229,Table16[สัปดาห์แจ้งซ่อม],"3")=0,"-",COUNTIFS(Table16[ประเภท],I224,Table16[ฝ่าย],A229,Table16[สัปดาห์แจ้งซ่อม],"3"))</f>
        <v>-</v>
      </c>
      <c r="J229" s="44" t="str">
        <f>IF(COUNTIFS(Table16[ประเภท],J224,Table16[ฝ่าย],A229,Table16[สัปดาห์แจ้งซ่อม],"3")=0,"-",COUNTIFS(Table16[ประเภท],J224,Table16[ฝ่าย],A229,Table16[สัปดาห์แจ้งซ่อม],"3"))</f>
        <v>-</v>
      </c>
      <c r="K229" s="44" t="str">
        <f>IF(COUNTIFS(Table16[ประเภท],K224,Table16[ฝ่าย],A229,Table16[สัปดาห์แจ้งซ่อม],"3")=0,"-",COUNTIFS(Table16[ประเภท],K224,Table16[ฝ่าย],A229,Table16[สัปดาห์แจ้งซ่อม],"3"))</f>
        <v>-</v>
      </c>
      <c r="L229" s="44" t="str">
        <f>IF(COUNTIFS(Table16[ประเภท],L224,Table16[ฝ่าย],A229,Table16[สัปดาห์แจ้งซ่อม],"3")=0,"-",COUNTIFS(Table16[ประเภท],L224,Table16[ฝ่าย],A229,Table16[สัปดาห์แจ้งซ่อม],"3"))</f>
        <v>-</v>
      </c>
      <c r="M229" s="44" t="str">
        <f>IF(COUNTIFS(Table16[ประเภท],M224,Table16[ฝ่าย],A229,Table16[สัปดาห์แจ้งซ่อม],"3")=0,"-",COUNTIFS(Table16[ประเภท],M224,Table16[ฝ่าย],A229,Table16[สัปดาห์แจ้งซ่อม],"3"))</f>
        <v>-</v>
      </c>
      <c r="N229" s="44" t="str">
        <f>IF(COUNTIFS(Table16[ประเภท],N224,Table16[ฝ่าย],A229,Table16[สัปดาห์แจ้งซ่อม],"3")=0,"-",COUNTIFS(Table16[ประเภท],N224,Table16[ฝ่าย],A229,Table16[สัปดาห์แจ้งซ่อม],"3"))</f>
        <v>-</v>
      </c>
      <c r="O229" s="201"/>
      <c r="P229" s="189" t="str">
        <f>IF(COUNTIFS(Table16[ประเภท],P224,Table16[ฝ่าย],A229,Table16[สัปดาห์แจ้งซ่อม],"3")=0,"-",COUNTIFS(Table16[ประเภท],P224,Table16[ฝ่าย],A229,Table16[สัปดาห์แจ้งซ่อม],"3"))</f>
        <v>-</v>
      </c>
    </row>
    <row r="230" spans="1:16" ht="15" thickBot="1">
      <c r="A230" s="47" t="s">
        <v>59</v>
      </c>
      <c r="B230" s="65">
        <f>COUNTIFS(Table16[ฝ่าย],A230,Table16[สัปดาห์แจ้งซ่อม],3)</f>
        <v>1</v>
      </c>
      <c r="C230" s="49">
        <f>B230/B239</f>
        <v>0.14285714285714285</v>
      </c>
      <c r="D230" s="44" t="str">
        <f>IF(COUNTIFS(Table16[ประเภท],D224,Table16[ฝ่าย],A230,Table16[สัปดาห์แจ้งซ่อม],"3")=0,"-",COUNTIFS(Table16[ประเภท],D224,Table16[ฝ่าย],A230,Table16[สัปดาห์แจ้งซ่อม],"3"))</f>
        <v>-</v>
      </c>
      <c r="E230" s="44" t="str">
        <f>IF(COUNTIFS(Table16[ประเภท],E224,Table16[ฝ่าย],A230,Table16[สัปดาห์แจ้งซ่อม],"3")=0,"-",COUNTIFS(Table16[ประเภท],E224,Table16[ฝ่าย],A230,Table16[สัปดาห์แจ้งซ่อม],"3"))</f>
        <v>-</v>
      </c>
      <c r="F230" s="44" t="str">
        <f>IF(COUNTIFS(Table16[ประเภท],F224,Table16[ฝ่าย],A230,Table16[สัปดาห์แจ้งซ่อม],"3")=0,"-",COUNTIFS(Table16[ประเภท],F224,Table16[ฝ่าย],A230,Table16[สัปดาห์แจ้งซ่อม],"3"))</f>
        <v>-</v>
      </c>
      <c r="G230" s="44" t="str">
        <f>IF(COUNTIFS(Table16[ประเภท],G224,Table16[ฝ่าย],A230,Table16[สัปดาห์แจ้งซ่อม],"3")=0,"-",COUNTIFS(Table16[ประเภท],G224,Table16[ฝ่าย],A230,Table16[สัปดาห์แจ้งซ่อม],"3"))</f>
        <v>-</v>
      </c>
      <c r="H230" s="44" t="str">
        <f>IF(COUNTIFS(Table16[ประเภท],H224,Table16[ฝ่าย],A230,Table16[สัปดาห์แจ้งซ่อม],"3")=0,"-",COUNTIFS(Table16[ประเภท],H224,Table16[ฝ่าย],A230,Table16[สัปดาห์แจ้งซ่อม],"3"))</f>
        <v>-</v>
      </c>
      <c r="I230" s="44" t="str">
        <f>IF(COUNTIFS(Table16[ประเภท],I224,Table16[ฝ่าย],A230,Table16[สัปดาห์แจ้งซ่อม],"3")=0,"-",COUNTIFS(Table16[ประเภท],I224,Table16[ฝ่าย],A230,Table16[สัปดาห์แจ้งซ่อม],"3"))</f>
        <v>-</v>
      </c>
      <c r="J230" s="44">
        <f>IF(COUNTIFS(Table16[ประเภท],J224,Table16[ฝ่าย],A230,Table16[สัปดาห์แจ้งซ่อม],"3")=0,"-",COUNTIFS(Table16[ประเภท],J224,Table16[ฝ่าย],A230,Table16[สัปดาห์แจ้งซ่อม],"3"))</f>
        <v>1</v>
      </c>
      <c r="K230" s="44" t="str">
        <f>IF(COUNTIFS(Table16[ประเภท],K224,Table16[ฝ่าย],A230,Table16[สัปดาห์แจ้งซ่อม],"3")=0,"-",COUNTIFS(Table16[ประเภท],K224,Table16[ฝ่าย],A230,Table16[สัปดาห์แจ้งซ่อม],"3"))</f>
        <v>-</v>
      </c>
      <c r="L230" s="44" t="str">
        <f>IF(COUNTIFS(Table16[ประเภท],L224,Table16[ฝ่าย],A230,Table16[สัปดาห์แจ้งซ่อม],"3")=0,"-",COUNTIFS(Table16[ประเภท],L224,Table16[ฝ่าย],A230,Table16[สัปดาห์แจ้งซ่อม],"3"))</f>
        <v>-</v>
      </c>
      <c r="M230" s="44" t="str">
        <f>IF(COUNTIFS(Table16[ประเภท],M224,Table16[ฝ่าย],A230,Table16[สัปดาห์แจ้งซ่อม],"3")=0,"-",COUNTIFS(Table16[ประเภท],M224,Table16[ฝ่าย],A230,Table16[สัปดาห์แจ้งซ่อม],"3"))</f>
        <v>-</v>
      </c>
      <c r="N230" s="44" t="str">
        <f>IF(COUNTIFS(Table16[ประเภท],N224,Table16[ฝ่าย],A230,Table16[สัปดาห์แจ้งซ่อม],"3")=0,"-",COUNTIFS(Table16[ประเภท],N224,Table16[ฝ่าย],A230,Table16[สัปดาห์แจ้งซ่อม],"3"))</f>
        <v>-</v>
      </c>
      <c r="O230" s="201"/>
      <c r="P230" s="189" t="str">
        <f>IF(COUNTIFS(Table16[ประเภท],P224,Table16[ฝ่าย],A230,Table16[สัปดาห์แจ้งซ่อม],"3")=0,"-",COUNTIFS(Table16[ประเภท],P224,Table16[ฝ่าย],A230,Table16[สัปดาห์แจ้งซ่อม],"3"))</f>
        <v>-</v>
      </c>
    </row>
    <row r="231" spans="1:16" ht="15" thickBot="1">
      <c r="A231" s="47" t="s">
        <v>60</v>
      </c>
      <c r="B231" s="65">
        <f>COUNTIFS(Table16[ฝ่าย],A231,Table16[สัปดาห์แจ้งซ่อม],3)</f>
        <v>0</v>
      </c>
      <c r="C231" s="49">
        <f>B231/B239</f>
        <v>0</v>
      </c>
      <c r="D231" s="44" t="str">
        <f>IF(COUNTIFS(Table16[ประเภท],D224,Table16[ฝ่าย],A231,Table16[สัปดาห์แจ้งซ่อม],"3")=0,"-",COUNTIFS(Table16[ประเภท],D224,Table16[ฝ่าย],A231,Table16[สัปดาห์แจ้งซ่อม],"3"))</f>
        <v>-</v>
      </c>
      <c r="E231" s="44" t="str">
        <f>IF(COUNTIFS(Table16[ประเภท],E224,Table16[ฝ่าย],A231,Table16[สัปดาห์แจ้งซ่อม],"3")=0,"-",COUNTIFS(Table16[ประเภท],E224,Table16[ฝ่าย],A231,Table16[สัปดาห์แจ้งซ่อม],"3"))</f>
        <v>-</v>
      </c>
      <c r="F231" s="44" t="str">
        <f>IF(COUNTIFS(Table16[ประเภท],F224,Table16[ฝ่าย],A231,Table16[สัปดาห์แจ้งซ่อม],"3")=0,"-",COUNTIFS(Table16[ประเภท],F224,Table16[ฝ่าย],A231,Table16[สัปดาห์แจ้งซ่อม],"3"))</f>
        <v>-</v>
      </c>
      <c r="G231" s="44" t="str">
        <f>IF(COUNTIFS(Table16[ประเภท],G224,Table16[ฝ่าย],A231,Table16[สัปดาห์แจ้งซ่อม],"3")=0,"-",COUNTIFS(Table16[ประเภท],G224,Table16[ฝ่าย],A231,Table16[สัปดาห์แจ้งซ่อม],"3"))</f>
        <v>-</v>
      </c>
      <c r="H231" s="44" t="str">
        <f>IF(COUNTIFS(Table16[ประเภท],H224,Table16[ฝ่าย],A231,Table16[สัปดาห์แจ้งซ่อม],"3")=0,"-",COUNTIFS(Table16[ประเภท],H224,Table16[ฝ่าย],A231,Table16[สัปดาห์แจ้งซ่อม],"3"))</f>
        <v>-</v>
      </c>
      <c r="I231" s="44" t="str">
        <f>IF(COUNTIFS(Table16[ประเภท],I224,Table16[ฝ่าย],A231,Table16[สัปดาห์แจ้งซ่อม],"3")=0,"-",COUNTIFS(Table16[ประเภท],I224,Table16[ฝ่าย],A231,Table16[สัปดาห์แจ้งซ่อม],"3"))</f>
        <v>-</v>
      </c>
      <c r="J231" s="44" t="str">
        <f>IF(COUNTIFS(Table16[ประเภท],J224,Table16[ฝ่าย],A231,Table16[สัปดาห์แจ้งซ่อม],"3")=0,"-",COUNTIFS(Table16[ประเภท],J224,Table16[ฝ่าย],A231,Table16[สัปดาห์แจ้งซ่อม],"3"))</f>
        <v>-</v>
      </c>
      <c r="K231" s="44" t="str">
        <f>IF(COUNTIFS(Table16[ประเภท],K224,Table16[ฝ่าย],A231,Table16[สัปดาห์แจ้งซ่อม],"3")=0,"-",COUNTIFS(Table16[ประเภท],K224,Table16[ฝ่าย],A231,Table16[สัปดาห์แจ้งซ่อม],"3"))</f>
        <v>-</v>
      </c>
      <c r="L231" s="44" t="str">
        <f>IF(COUNTIFS(Table16[ประเภท],L224,Table16[ฝ่าย],A231,Table16[สัปดาห์แจ้งซ่อม],"3")=0,"-",COUNTIFS(Table16[ประเภท],L224,Table16[ฝ่าย],A231,Table16[สัปดาห์แจ้งซ่อม],"3"))</f>
        <v>-</v>
      </c>
      <c r="M231" s="44" t="str">
        <f>IF(COUNTIFS(Table16[ประเภท],M224,Table16[ฝ่าย],A231,Table16[สัปดาห์แจ้งซ่อม],"3")=0,"-",COUNTIFS(Table16[ประเภท],M224,Table16[ฝ่าย],A231,Table16[สัปดาห์แจ้งซ่อม],"3"))</f>
        <v>-</v>
      </c>
      <c r="N231" s="44" t="str">
        <f>IF(COUNTIFS(Table16[ประเภท],N224,Table16[ฝ่าย],A231,Table16[สัปดาห์แจ้งซ่อม],"3")=0,"-",COUNTIFS(Table16[ประเภท],N224,Table16[ฝ่าย],A231,Table16[สัปดาห์แจ้งซ่อม],"3"))</f>
        <v>-</v>
      </c>
      <c r="O231" s="201"/>
      <c r="P231" s="189" t="str">
        <f>IF(COUNTIFS(Table16[ประเภท],P224,Table16[ฝ่าย],A231,Table16[สัปดาห์แจ้งซ่อม],"3")=0,"-",COUNTIFS(Table16[ประเภท],P224,Table16[ฝ่าย],A231,Table16[สัปดาห์แจ้งซ่อม],"3"))</f>
        <v>-</v>
      </c>
    </row>
    <row r="232" spans="1:16" ht="15" thickBot="1">
      <c r="A232" s="47" t="s">
        <v>61</v>
      </c>
      <c r="B232" s="65">
        <f>COUNTIFS(Table16[ฝ่าย],A232,Table16[สัปดาห์แจ้งซ่อม],3)</f>
        <v>0</v>
      </c>
      <c r="C232" s="49">
        <f>B232/B239</f>
        <v>0</v>
      </c>
      <c r="D232" s="44" t="str">
        <f>IF(COUNTIFS(Table16[ประเภท],D224,Table16[ฝ่าย],A232,Table16[สัปดาห์แจ้งซ่อม],"3")=0,"-",COUNTIFS(Table16[ประเภท],D224,Table16[ฝ่าย],A232,Table16[สัปดาห์แจ้งซ่อม],"3"))</f>
        <v>-</v>
      </c>
      <c r="E232" s="44" t="str">
        <f>IF(COUNTIFS(Table16[ประเภท],E224,Table16[ฝ่าย],A232,Table16[สัปดาห์แจ้งซ่อม],"3")=0,"-",COUNTIFS(Table16[ประเภท],E224,Table16[ฝ่าย],A232,Table16[สัปดาห์แจ้งซ่อม],"3"))</f>
        <v>-</v>
      </c>
      <c r="F232" s="44" t="str">
        <f>IF(COUNTIFS(Table16[ประเภท],F224,Table16[ฝ่าย],A232,Table16[สัปดาห์แจ้งซ่อม],"3")=0,"-",COUNTIFS(Table16[ประเภท],F224,Table16[ฝ่าย],A232,Table16[สัปดาห์แจ้งซ่อม],"3"))</f>
        <v>-</v>
      </c>
      <c r="G232" s="44" t="str">
        <f>IF(COUNTIFS(Table16[ประเภท],G224,Table16[ฝ่าย],A232,Table16[สัปดาห์แจ้งซ่อม],"3")=0,"-",COUNTIFS(Table16[ประเภท],G224,Table16[ฝ่าย],A232,Table16[สัปดาห์แจ้งซ่อม],"3"))</f>
        <v>-</v>
      </c>
      <c r="H232" s="44" t="str">
        <f>IF(COUNTIFS(Table16[ประเภท],H224,Table16[ฝ่าย],A232,Table16[สัปดาห์แจ้งซ่อม],"3")=0,"-",COUNTIFS(Table16[ประเภท],H224,Table16[ฝ่าย],A232,Table16[สัปดาห์แจ้งซ่อม],"3"))</f>
        <v>-</v>
      </c>
      <c r="I232" s="44" t="str">
        <f>IF(COUNTIFS(Table16[ประเภท],I224,Table16[ฝ่าย],A232,Table16[สัปดาห์แจ้งซ่อม],"3")=0,"-",COUNTIFS(Table16[ประเภท],I224,Table16[ฝ่าย],A232,Table16[สัปดาห์แจ้งซ่อม],"3"))</f>
        <v>-</v>
      </c>
      <c r="J232" s="44" t="str">
        <f>IF(COUNTIFS(Table16[ประเภท],J224,Table16[ฝ่าย],A232,Table16[สัปดาห์แจ้งซ่อม],"3")=0,"-",COUNTIFS(Table16[ประเภท],J224,Table16[ฝ่าย],A232,Table16[สัปดาห์แจ้งซ่อม],"3"))</f>
        <v>-</v>
      </c>
      <c r="K232" s="44" t="str">
        <f>IF(COUNTIFS(Table16[ประเภท],K224,Table16[ฝ่าย],A232,Table16[สัปดาห์แจ้งซ่อม],"3")=0,"-",COUNTIFS(Table16[ประเภท],K224,Table16[ฝ่าย],A232,Table16[สัปดาห์แจ้งซ่อม],"3"))</f>
        <v>-</v>
      </c>
      <c r="L232" s="44" t="str">
        <f>IF(COUNTIFS(Table16[ประเภท],L224,Table16[ฝ่าย],A232,Table16[สัปดาห์แจ้งซ่อม],"3")=0,"-",COUNTIFS(Table16[ประเภท],L224,Table16[ฝ่าย],A232,Table16[สัปดาห์แจ้งซ่อม],"3"))</f>
        <v>-</v>
      </c>
      <c r="M232" s="44" t="str">
        <f>IF(COUNTIFS(Table16[ประเภท],M224,Table16[ฝ่าย],A232,Table16[สัปดาห์แจ้งซ่อม],"3")=0,"-",COUNTIFS(Table16[ประเภท],M224,Table16[ฝ่าย],A232,Table16[สัปดาห์แจ้งซ่อม],"3"))</f>
        <v>-</v>
      </c>
      <c r="N232" s="44" t="str">
        <f>IF(COUNTIFS(Table16[ประเภท],N224,Table16[ฝ่าย],A232,Table16[สัปดาห์แจ้งซ่อม],"3")=0,"-",COUNTIFS(Table16[ประเภท],N224,Table16[ฝ่าย],A232,Table16[สัปดาห์แจ้งซ่อม],"3"))</f>
        <v>-</v>
      </c>
      <c r="O232" s="201"/>
      <c r="P232" s="189" t="str">
        <f>IF(COUNTIFS(Table16[ประเภท],P224,Table16[ฝ่าย],A232,Table16[สัปดาห์แจ้งซ่อม],"3")=0,"-",COUNTIFS(Table16[ประเภท],P224,Table16[ฝ่าย],A232,Table16[สัปดาห์แจ้งซ่อม],"3"))</f>
        <v>-</v>
      </c>
    </row>
    <row r="233" spans="1:16" ht="15" thickBot="1">
      <c r="A233" s="47" t="s">
        <v>62</v>
      </c>
      <c r="B233" s="65">
        <f>COUNTIFS(Table16[ฝ่าย],A233,Table16[สัปดาห์แจ้งซ่อม],3)</f>
        <v>0</v>
      </c>
      <c r="C233" s="49">
        <f>B233/B239</f>
        <v>0</v>
      </c>
      <c r="D233" s="44" t="str">
        <f>IF(COUNTIFS(Table16[ประเภท],D224,Table16[ฝ่าย],A233,Table16[สัปดาห์แจ้งซ่อม],"3")=0,"-",COUNTIFS(Table16[ประเภท],D224,Table16[ฝ่าย],A233,Table16[สัปดาห์แจ้งซ่อม],"3"))</f>
        <v>-</v>
      </c>
      <c r="E233" s="44" t="str">
        <f>IF(COUNTIFS(Table16[ประเภท],E224,Table16[ฝ่าย],A233,Table16[สัปดาห์แจ้งซ่อม],"3")=0,"-",COUNTIFS(Table16[ประเภท],E224,Table16[ฝ่าย],A233,Table16[สัปดาห์แจ้งซ่อม],"3"))</f>
        <v>-</v>
      </c>
      <c r="F233" s="44" t="str">
        <f>IF(COUNTIFS(Table16[ประเภท],F224,Table16[ฝ่าย],A233,Table16[สัปดาห์แจ้งซ่อม],"3")=0,"-",COUNTIFS(Table16[ประเภท],F224,Table16[ฝ่าย],A233,Table16[สัปดาห์แจ้งซ่อม],"3"))</f>
        <v>-</v>
      </c>
      <c r="G233" s="44" t="str">
        <f>IF(COUNTIFS(Table16[ประเภท],G224,Table16[ฝ่าย],A233,Table16[สัปดาห์แจ้งซ่อม],"3")=0,"-",COUNTIFS(Table16[ประเภท],G224,Table16[ฝ่าย],A233,Table16[สัปดาห์แจ้งซ่อม],"3"))</f>
        <v>-</v>
      </c>
      <c r="H233" s="44" t="str">
        <f>IF(COUNTIFS(Table16[ประเภท],H224,Table16[ฝ่าย],A233,Table16[สัปดาห์แจ้งซ่อม],"3")=0,"-",COUNTIFS(Table16[ประเภท],H224,Table16[ฝ่าย],A233,Table16[สัปดาห์แจ้งซ่อม],"3"))</f>
        <v>-</v>
      </c>
      <c r="I233" s="44" t="str">
        <f>IF(COUNTIFS(Table16[ประเภท],I224,Table16[ฝ่าย],A233,Table16[สัปดาห์แจ้งซ่อม],"3")=0,"-",COUNTIFS(Table16[ประเภท],I224,Table16[ฝ่าย],A233,Table16[สัปดาห์แจ้งซ่อม],"3"))</f>
        <v>-</v>
      </c>
      <c r="J233" s="44" t="str">
        <f>IF(COUNTIFS(Table16[ประเภท],J224,Table16[ฝ่าย],A233,Table16[สัปดาห์แจ้งซ่อม],"3")=0,"-",COUNTIFS(Table16[ประเภท],J224,Table16[ฝ่าย],A233,Table16[สัปดาห์แจ้งซ่อม],"3"))</f>
        <v>-</v>
      </c>
      <c r="K233" s="44" t="str">
        <f>IF(COUNTIFS(Table16[ประเภท],K224,Table16[ฝ่าย],A233,Table16[สัปดาห์แจ้งซ่อม],"3")=0,"-",COUNTIFS(Table16[ประเภท],K224,Table16[ฝ่าย],A233,Table16[สัปดาห์แจ้งซ่อม],"3"))</f>
        <v>-</v>
      </c>
      <c r="L233" s="44" t="str">
        <f>IF(COUNTIFS(Table16[ประเภท],L224,Table16[ฝ่าย],A233,Table16[สัปดาห์แจ้งซ่อม],"3")=0,"-",COUNTIFS(Table16[ประเภท],L224,Table16[ฝ่าย],A233,Table16[สัปดาห์แจ้งซ่อม],"3"))</f>
        <v>-</v>
      </c>
      <c r="M233" s="44" t="str">
        <f>IF(COUNTIFS(Table16[ประเภท],M224,Table16[ฝ่าย],A233,Table16[สัปดาห์แจ้งซ่อม],"3")=0,"-",COUNTIFS(Table16[ประเภท],M224,Table16[ฝ่าย],A233,Table16[สัปดาห์แจ้งซ่อม],"3"))</f>
        <v>-</v>
      </c>
      <c r="N233" s="44" t="str">
        <f>IF(COUNTIFS(Table16[ประเภท],N224,Table16[ฝ่าย],A233,Table16[สัปดาห์แจ้งซ่อม],"3")=0,"-",COUNTIFS(Table16[ประเภท],N224,Table16[ฝ่าย],A233,Table16[สัปดาห์แจ้งซ่อม],"3"))</f>
        <v>-</v>
      </c>
      <c r="O233" s="201"/>
      <c r="P233" s="189" t="str">
        <f>IF(COUNTIFS(Table16[ประเภท],P224,Table16[ฝ่าย],A233,Table16[สัปดาห์แจ้งซ่อม],"3")=0,"-",COUNTIFS(Table16[ประเภท],P224,Table16[ฝ่าย],A233,Table16[สัปดาห์แจ้งซ่อม],"3"))</f>
        <v>-</v>
      </c>
    </row>
    <row r="234" spans="1:16" ht="15" thickBot="1">
      <c r="A234" s="47" t="s">
        <v>63</v>
      </c>
      <c r="B234" s="65">
        <f>COUNTIFS(Table16[ฝ่าย],A234,Table16[สัปดาห์แจ้งซ่อม],3)</f>
        <v>0</v>
      </c>
      <c r="C234" s="50">
        <f>B234/B239</f>
        <v>0</v>
      </c>
      <c r="D234" s="44" t="str">
        <f>IF(COUNTIFS(Table16[ประเภท],D224,Table16[ฝ่าย],A234,Table16[สัปดาห์แจ้งซ่อม],"3")=0,"-",COUNTIFS(Table16[ประเภท],D224,Table16[ฝ่าย],A234,Table16[สัปดาห์แจ้งซ่อม],"3"))</f>
        <v>-</v>
      </c>
      <c r="E234" s="44" t="str">
        <f>IF(COUNTIFS(Table16[ประเภท],E224,Table16[ฝ่าย],A234,Table16[สัปดาห์แจ้งซ่อม],"3")=0,"-",COUNTIFS(Table16[ประเภท],E224,Table16[ฝ่าย],A234,Table16[สัปดาห์แจ้งซ่อม],"3"))</f>
        <v>-</v>
      </c>
      <c r="F234" s="44" t="str">
        <f>IF(COUNTIFS(Table16[ประเภท],F224,Table16[ฝ่าย],A234,Table16[สัปดาห์แจ้งซ่อม],"3")=0,"-",COUNTIFS(Table16[ประเภท],F224,Table16[ฝ่าย],A234,Table16[สัปดาห์แจ้งซ่อม],"3"))</f>
        <v>-</v>
      </c>
      <c r="G234" s="44" t="str">
        <f>IF(COUNTIFS(Table16[ประเภท],G224,Table16[ฝ่าย],A234,Table16[สัปดาห์แจ้งซ่อม],"3")=0,"-",COUNTIFS(Table16[ประเภท],G224,Table16[ฝ่าย],A234,Table16[สัปดาห์แจ้งซ่อม],"3"))</f>
        <v>-</v>
      </c>
      <c r="H234" s="44" t="str">
        <f>IF(COUNTIFS(Table16[ประเภท],H224,Table16[ฝ่าย],A234,Table16[สัปดาห์แจ้งซ่อม],"3")=0,"-",COUNTIFS(Table16[ประเภท],H224,Table16[ฝ่าย],A234,Table16[สัปดาห์แจ้งซ่อม],"3"))</f>
        <v>-</v>
      </c>
      <c r="I234" s="44" t="str">
        <f>IF(COUNTIFS(Table16[ประเภท],I224,Table16[ฝ่าย],A234,Table16[สัปดาห์แจ้งซ่อม],"3")=0,"-",COUNTIFS(Table16[ประเภท],I224,Table16[ฝ่าย],A234,Table16[สัปดาห์แจ้งซ่อม],"3"))</f>
        <v>-</v>
      </c>
      <c r="J234" s="44" t="str">
        <f>IF(COUNTIFS(Table16[ประเภท],J224,Table16[ฝ่าย],A234,Table16[สัปดาห์แจ้งซ่อม],"3")=0,"-",COUNTIFS(Table16[ประเภท],J224,Table16[ฝ่าย],A234,Table16[สัปดาห์แจ้งซ่อม],"3"))</f>
        <v>-</v>
      </c>
      <c r="K234" s="44" t="str">
        <f>IF(COUNTIFS(Table16[ประเภท],K224,Table16[ฝ่าย],A234,Table16[สัปดาห์แจ้งซ่อม],"3")=0,"-",COUNTIFS(Table16[ประเภท],K224,Table16[ฝ่าย],A234,Table16[สัปดาห์แจ้งซ่อม],"3"))</f>
        <v>-</v>
      </c>
      <c r="L234" s="44" t="str">
        <f>IF(COUNTIFS(Table16[ประเภท],L224,Table16[ฝ่าย],A234,Table16[สัปดาห์แจ้งซ่อม],"3")=0,"-",COUNTIFS(Table16[ประเภท],L224,Table16[ฝ่าย],A234,Table16[สัปดาห์แจ้งซ่อม],"3"))</f>
        <v>-</v>
      </c>
      <c r="M234" s="44" t="str">
        <f>IF(COUNTIFS(Table16[ประเภท],M224,Table16[ฝ่าย],A234,Table16[สัปดาห์แจ้งซ่อม],"3")=0,"-",COUNTIFS(Table16[ประเภท],M224,Table16[ฝ่าย],A234,Table16[สัปดาห์แจ้งซ่อม],"3"))</f>
        <v>-</v>
      </c>
      <c r="N234" s="44" t="str">
        <f>IF(COUNTIFS(Table16[ประเภท],N224,Table16[ฝ่าย],A234,Table16[สัปดาห์แจ้งซ่อม],"3")=0,"-",COUNTIFS(Table16[ประเภท],N224,Table16[ฝ่าย],A234,Table16[สัปดาห์แจ้งซ่อม],"3"))</f>
        <v>-</v>
      </c>
      <c r="O234" s="201"/>
      <c r="P234" s="189" t="str">
        <f>IF(COUNTIFS(Table16[ประเภท],P224,Table16[ฝ่าย],A234,Table16[สัปดาห์แจ้งซ่อม],"3")=0,"-",COUNTIFS(Table16[ประเภท],P224,Table16[ฝ่าย],A234,Table16[สัปดาห์แจ้งซ่อม],"3"))</f>
        <v>-</v>
      </c>
    </row>
    <row r="235" spans="1:16" ht="15" thickBot="1">
      <c r="A235" s="47" t="s">
        <v>64</v>
      </c>
      <c r="B235" s="65">
        <f>COUNTIFS(Table16[ฝ่าย],A235,Table16[สัปดาห์แจ้งซ่อม],3)</f>
        <v>0</v>
      </c>
      <c r="C235" s="50">
        <f>B235/B239</f>
        <v>0</v>
      </c>
      <c r="D235" s="44" t="str">
        <f>IF(COUNTIFS(Table16[ประเภท],D224,Table16[ฝ่าย],A235,Table16[สัปดาห์แจ้งซ่อม],"3")=0,"-",COUNTIFS(Table16[ประเภท],D224,Table16[ฝ่าย],A235,Table16[สัปดาห์แจ้งซ่อม],"3"))</f>
        <v>-</v>
      </c>
      <c r="E235" s="44" t="str">
        <f>IF(COUNTIFS(Table16[ประเภท],E224,Table16[ฝ่าย],A235,Table16[สัปดาห์แจ้งซ่อม],"3")=0,"-",COUNTIFS(Table16[ประเภท],E224,Table16[ฝ่าย],A235,Table16[สัปดาห์แจ้งซ่อม],"3"))</f>
        <v>-</v>
      </c>
      <c r="F235" s="44" t="str">
        <f>IF(COUNTIFS(Table16[ประเภท],F224,Table16[ฝ่าย],A235,Table16[สัปดาห์แจ้งซ่อม],"3")=0,"-",COUNTIFS(Table16[ประเภท],F224,Table16[ฝ่าย],A235,Table16[สัปดาห์แจ้งซ่อม],"3"))</f>
        <v>-</v>
      </c>
      <c r="G235" s="44" t="str">
        <f>IF(COUNTIFS(Table16[ประเภท],G224,Table16[ฝ่าย],A235,Table16[สัปดาห์แจ้งซ่อม],"3")=0,"-",COUNTIFS(Table16[ประเภท],G224,Table16[ฝ่าย],A235,Table16[สัปดาห์แจ้งซ่อม],"3"))</f>
        <v>-</v>
      </c>
      <c r="H235" s="44" t="str">
        <f>IF(COUNTIFS(Table16[ประเภท],H224,Table16[ฝ่าย],A235,Table16[สัปดาห์แจ้งซ่อม],"3")=0,"-",COUNTIFS(Table16[ประเภท],H224,Table16[ฝ่าย],A235,Table16[สัปดาห์แจ้งซ่อม],"3"))</f>
        <v>-</v>
      </c>
      <c r="I235" s="44" t="str">
        <f>IF(COUNTIFS(Table16[ประเภท],I224,Table16[ฝ่าย],A235,Table16[สัปดาห์แจ้งซ่อม],"3")=0,"-",COUNTIFS(Table16[ประเภท],I224,Table16[ฝ่าย],A235,Table16[สัปดาห์แจ้งซ่อม],"3"))</f>
        <v>-</v>
      </c>
      <c r="J235" s="44" t="str">
        <f>IF(COUNTIFS(Table16[ประเภท],J224,Table16[ฝ่าย],A235,Table16[สัปดาห์แจ้งซ่อม],"3")=0,"-",COUNTIFS(Table16[ประเภท],J224,Table16[ฝ่าย],A235,Table16[สัปดาห์แจ้งซ่อม],"3"))</f>
        <v>-</v>
      </c>
      <c r="K235" s="44" t="str">
        <f>IF(COUNTIFS(Table16[ประเภท],K224,Table16[ฝ่าย],A235,Table16[สัปดาห์แจ้งซ่อม],"3")=0,"-",COUNTIFS(Table16[ประเภท],K224,Table16[ฝ่าย],A235,Table16[สัปดาห์แจ้งซ่อม],"3"))</f>
        <v>-</v>
      </c>
      <c r="L235" s="44" t="str">
        <f>IF(COUNTIFS(Table16[ประเภท],L224,Table16[ฝ่าย],A235,Table16[สัปดาห์แจ้งซ่อม],"3")=0,"-",COUNTIFS(Table16[ประเภท],L224,Table16[ฝ่าย],A235,Table16[สัปดาห์แจ้งซ่อม],"3"))</f>
        <v>-</v>
      </c>
      <c r="M235" s="44" t="str">
        <f>IF(COUNTIFS(Table16[ประเภท],M224,Table16[ฝ่าย],A235,Table16[สัปดาห์แจ้งซ่อม],"3")=0,"-",COUNTIFS(Table16[ประเภท],M224,Table16[ฝ่าย],A235,Table16[สัปดาห์แจ้งซ่อม],"3"))</f>
        <v>-</v>
      </c>
      <c r="N235" s="44" t="str">
        <f>IF(COUNTIFS(Table16[ประเภท],N224,Table16[ฝ่าย],A235,Table16[สัปดาห์แจ้งซ่อม],"3")=0,"-",COUNTIFS(Table16[ประเภท],N224,Table16[ฝ่าย],A235,Table16[สัปดาห์แจ้งซ่อม],"3"))</f>
        <v>-</v>
      </c>
      <c r="O235" s="201"/>
      <c r="P235" s="189" t="str">
        <f>IF(COUNTIFS(Table16[ประเภท],P224,Table16[ฝ่าย],A235,Table16[สัปดาห์แจ้งซ่อม],"3")=0,"-",COUNTIFS(Table16[ประเภท],P224,Table16[ฝ่าย],A235,Table16[สัปดาห์แจ้งซ่อม],"3"))</f>
        <v>-</v>
      </c>
    </row>
    <row r="236" spans="1:16" ht="15" thickBot="1">
      <c r="A236" s="47" t="s">
        <v>65</v>
      </c>
      <c r="B236" s="65">
        <f>COUNTIFS(Table16[ฝ่าย],A236,Table16[สัปดาห์แจ้งซ่อม],3)</f>
        <v>0</v>
      </c>
      <c r="C236" s="50">
        <f>B236/B239</f>
        <v>0</v>
      </c>
      <c r="D236" s="44" t="str">
        <f>IF(COUNTIFS(Table16[ประเภท],D224,Table16[ฝ่าย],A236,Table16[สัปดาห์แจ้งซ่อม],"3")=0,"-",COUNTIFS(Table16[ประเภท],D224,Table16[ฝ่าย],A236,Table16[สัปดาห์แจ้งซ่อม],"3"))</f>
        <v>-</v>
      </c>
      <c r="E236" s="44" t="str">
        <f>IF(COUNTIFS(Table16[ประเภท],E224,Table16[ฝ่าย],A236,Table16[สัปดาห์แจ้งซ่อม],"3")=0,"-",COUNTIFS(Table16[ประเภท],E224,Table16[ฝ่าย],A236,Table16[สัปดาห์แจ้งซ่อม],"3"))</f>
        <v>-</v>
      </c>
      <c r="F236" s="44" t="str">
        <f>IF(COUNTIFS(Table16[ประเภท],F224,Table16[ฝ่าย],A236,Table16[สัปดาห์แจ้งซ่อม],"3")=0,"-",COUNTIFS(Table16[ประเภท],F224,Table16[ฝ่าย],A236,Table16[สัปดาห์แจ้งซ่อม],"3"))</f>
        <v>-</v>
      </c>
      <c r="G236" s="44" t="str">
        <f>IF(COUNTIFS(Table16[ประเภท],G224,Table16[ฝ่าย],A236,Table16[สัปดาห์แจ้งซ่อม],"3")=0,"-",COUNTIFS(Table16[ประเภท],G224,Table16[ฝ่าย],A236,Table16[สัปดาห์แจ้งซ่อม],"3"))</f>
        <v>-</v>
      </c>
      <c r="H236" s="44" t="str">
        <f>IF(COUNTIFS(Table16[ประเภท],H224,Table16[ฝ่าย],A236,Table16[สัปดาห์แจ้งซ่อม],"3")=0,"-",COUNTIFS(Table16[ประเภท],H224,Table16[ฝ่าย],A236,Table16[สัปดาห์แจ้งซ่อม],"3"))</f>
        <v>-</v>
      </c>
      <c r="I236" s="44" t="str">
        <f>IF(COUNTIFS(Table16[ประเภท],I224,Table16[ฝ่าย],A236,Table16[สัปดาห์แจ้งซ่อม],"3")=0,"-",COUNTIFS(Table16[ประเภท],I224,Table16[ฝ่าย],A236,Table16[สัปดาห์แจ้งซ่อม],"3"))</f>
        <v>-</v>
      </c>
      <c r="J236" s="44" t="str">
        <f>IF(COUNTIFS(Table16[ประเภท],J224,Table16[ฝ่าย],A236,Table16[สัปดาห์แจ้งซ่อม],"3")=0,"-",COUNTIFS(Table16[ประเภท],J224,Table16[ฝ่าย],A236,Table16[สัปดาห์แจ้งซ่อม],"3"))</f>
        <v>-</v>
      </c>
      <c r="K236" s="44" t="str">
        <f>IF(COUNTIFS(Table16[ประเภท],K224,Table16[ฝ่าย],A236,Table16[สัปดาห์แจ้งซ่อม],"3")=0,"-",COUNTIFS(Table16[ประเภท],K224,Table16[ฝ่าย],A236,Table16[สัปดาห์แจ้งซ่อม],"3"))</f>
        <v>-</v>
      </c>
      <c r="L236" s="44" t="str">
        <f>IF(COUNTIFS(Table16[ประเภท],L224,Table16[ฝ่าย],A236,Table16[สัปดาห์แจ้งซ่อม],"3")=0,"-",COUNTIFS(Table16[ประเภท],L224,Table16[ฝ่าย],A236,Table16[สัปดาห์แจ้งซ่อม],"3"))</f>
        <v>-</v>
      </c>
      <c r="M236" s="44" t="str">
        <f>IF(COUNTIFS(Table16[ประเภท],M224,Table16[ฝ่าย],A236,Table16[สัปดาห์แจ้งซ่อม],"3")=0,"-",COUNTIFS(Table16[ประเภท],M224,Table16[ฝ่าย],A236,Table16[สัปดาห์แจ้งซ่อม],"3"))</f>
        <v>-</v>
      </c>
      <c r="N236" s="44" t="str">
        <f>IF(COUNTIFS(Table16[ประเภท],N224,Table16[ฝ่าย],A236,Table16[สัปดาห์แจ้งซ่อม],"3")=0,"-",COUNTIFS(Table16[ประเภท],N224,Table16[ฝ่าย],A236,Table16[สัปดาห์แจ้งซ่อม],"3"))</f>
        <v>-</v>
      </c>
      <c r="O236" s="201"/>
      <c r="P236" s="189" t="str">
        <f>IF(COUNTIFS(Table16[ประเภท],P224,Table16[ฝ่าย],A236,Table16[สัปดาห์แจ้งซ่อม],"3")=0,"-",COUNTIFS(Table16[ประเภท],P224,Table16[ฝ่าย],A236,Table16[สัปดาห์แจ้งซ่อม],"3"))</f>
        <v>-</v>
      </c>
    </row>
    <row r="237" spans="1:16" ht="15" thickBot="1">
      <c r="A237" s="47" t="s">
        <v>66</v>
      </c>
      <c r="B237" s="65">
        <f>COUNTIFS(Table16[ฝ่าย],A237,Table16[สัปดาห์แจ้งซ่อม],3)</f>
        <v>0</v>
      </c>
      <c r="C237" s="50">
        <f>B237/B239</f>
        <v>0</v>
      </c>
      <c r="D237" s="44" t="str">
        <f>IF(COUNTIFS(Table16[ประเภท],D224,Table16[ฝ่าย],A237,Table16[สัปดาห์แจ้งซ่อม],"3")=0,"-",COUNTIFS(Table16[ประเภท],D224,Table16[ฝ่าย],A234,Table16[สัปดาห์แจ้งซ่อม],"3"))</f>
        <v>-</v>
      </c>
      <c r="E237" s="44" t="str">
        <f>IF(COUNTIFS(Table16[ประเภท],E224,Table16[ฝ่าย],A237,Table16[สัปดาห์แจ้งซ่อม],"3")=0,"-",COUNTIFS(Table16[ประเภท],E224,Table16[ฝ่าย],A234,Table16[สัปดาห์แจ้งซ่อม],"3"))</f>
        <v>-</v>
      </c>
      <c r="F237" s="44" t="str">
        <f>IF(COUNTIFS(Table16[ประเภท],F224,Table16[ฝ่าย],A237,Table16[สัปดาห์แจ้งซ่อม],"3")=0,"-",COUNTIFS(Table16[ประเภท],F224,Table16[ฝ่าย],A237,Table16[สัปดาห์แจ้งซ่อม],"3"))</f>
        <v>-</v>
      </c>
      <c r="G237" s="44" t="str">
        <f>IF(COUNTIFS(Table16[ประเภท],G224,Table16[ฝ่าย],A237,Table16[สัปดาห์แจ้งซ่อม],"3")=0,"-",COUNTIFS(Table16[ประเภท],G224,Table16[ฝ่าย],A237,Table16[สัปดาห์แจ้งซ่อม],"3"))</f>
        <v>-</v>
      </c>
      <c r="H237" s="44" t="str">
        <f>IF(COUNTIFS(Table16[ประเภท],H224,Table16[ฝ่าย],A237,Table16[สัปดาห์แจ้งซ่อม],"3")=0,"-",COUNTIFS(Table16[ประเภท],H224,Table16[ฝ่าย],A237,Table16[สัปดาห์แจ้งซ่อม],"3"))</f>
        <v>-</v>
      </c>
      <c r="I237" s="44" t="str">
        <f>IF(COUNTIFS(Table16[ประเภท],I224,Table16[ฝ่าย],A237,Table16[สัปดาห์แจ้งซ่อม],"3")=0,"-",COUNTIFS(Table16[ประเภท],I224,Table16[ฝ่าย],A237,Table16[สัปดาห์แจ้งซ่อม],"3"))</f>
        <v>-</v>
      </c>
      <c r="J237" s="44" t="str">
        <f>IF(COUNTIFS(Table16[ประเภท],J224,Table16[ฝ่าย],A237,Table16[สัปดาห์แจ้งซ่อม],"3")=0,"-",COUNTIFS(Table16[ประเภท],J224,Table16[ฝ่าย],A237,Table16[สัปดาห์แจ้งซ่อม],"3"))</f>
        <v>-</v>
      </c>
      <c r="K237" s="44" t="str">
        <f>IF(COUNTIFS(Table16[ประเภท],K224,Table16[ฝ่าย],A237,Table16[สัปดาห์แจ้งซ่อม],"3")=0,"-",COUNTIFS(Table16[ประเภท],K224,Table16[ฝ่าย],A237,Table16[สัปดาห์แจ้งซ่อม],"3"))</f>
        <v>-</v>
      </c>
      <c r="L237" s="44" t="str">
        <f>IF(COUNTIFS(Table16[ประเภท],L224,Table16[ฝ่าย],A237,Table16[สัปดาห์แจ้งซ่อม],"3")=0,"-",COUNTIFS(Table16[ประเภท],L224,Table16[ฝ่าย],A237,Table16[สัปดาห์แจ้งซ่อม],"3"))</f>
        <v>-</v>
      </c>
      <c r="M237" s="44" t="str">
        <f>IF(COUNTIFS(Table16[ประเภท],M224,Table16[ฝ่าย],A237,Table16[สัปดาห์แจ้งซ่อม],"3")=0,"-",COUNTIFS(Table16[ประเภท],M224,Table16[ฝ่าย],A237,Table16[สัปดาห์แจ้งซ่อม],"3"))</f>
        <v>-</v>
      </c>
      <c r="N237" s="44" t="str">
        <f>IF(COUNTIFS(Table16[ประเภท],N224,Table16[ฝ่าย],A237,Table16[สัปดาห์แจ้งซ่อม],"3")=0,"-",COUNTIFS(Table16[ประเภท],N224,Table16[ฝ่าย],A237,Table16[สัปดาห์แจ้งซ่อม],"3"))</f>
        <v>-</v>
      </c>
      <c r="O237" s="201"/>
      <c r="P237" s="189" t="str">
        <f>IF(COUNTIFS(Table16[ประเภท],P224,Table16[ฝ่าย],A237,Table16[สัปดาห์แจ้งซ่อม],"3")=0,"-",COUNTIFS(Table16[ประเภท],P224,Table16[ฝ่าย],A237,Table16[สัปดาห์แจ้งซ่อม],"3"))</f>
        <v>-</v>
      </c>
    </row>
    <row r="238" spans="1:16" ht="15" thickBot="1">
      <c r="A238" s="47" t="s">
        <v>120</v>
      </c>
      <c r="B238" s="65">
        <f>COUNTIFS(Table16[ฝ่าย],A238,Table16[สัปดาห์แจ้งซ่อม],3)</f>
        <v>0</v>
      </c>
      <c r="C238" s="50">
        <f>B238/B239</f>
        <v>0</v>
      </c>
      <c r="D238" s="44" t="str">
        <f>IF(COUNTIFS(Table16[ประเภท],D224,Table16[ฝ่าย],A238,Table16[สัปดาห์แจ้งซ่อม],"3")=0,"-",COUNTIFS(Table16[ประเภท],D224,Table16[ฝ่าย],A238,Table16[สัปดาห์แจ้งซ่อม],"3"))</f>
        <v>-</v>
      </c>
      <c r="E238" s="44" t="str">
        <f>IF(COUNTIFS(Table16[ประเภท],E224,Table16[ฝ่าย],A238,Table16[สัปดาห์แจ้งซ่อม],"3")=0,"-",COUNTIFS(Table16[ประเภท],E224,Table16[ฝ่าย],A238,Table16[สัปดาห์แจ้งซ่อม],"3"))</f>
        <v>-</v>
      </c>
      <c r="F238" s="44" t="str">
        <f>IF(COUNTIFS(Table16[ประเภท],F224,Table16[ฝ่าย],A238,Table16[สัปดาห์แจ้งซ่อม],"3")=0,"-",COUNTIFS(Table16[ประเภท],F224,Table16[ฝ่าย],A238,Table16[สัปดาห์แจ้งซ่อม],"3"))</f>
        <v>-</v>
      </c>
      <c r="G238" s="44" t="str">
        <f>IF(COUNTIFS(Table16[ประเภท],G224,Table16[ฝ่าย],A238,Table16[สัปดาห์แจ้งซ่อม],"3")=0,"-",COUNTIFS(Table16[ประเภท],G224,Table16[ฝ่าย],A238,Table16[สัปดาห์แจ้งซ่อม],"3"))</f>
        <v>-</v>
      </c>
      <c r="H238" s="44" t="str">
        <f>IF(COUNTIFS(Table16[ประเภท],H224,Table16[ฝ่าย],A238,Table16[สัปดาห์แจ้งซ่อม],"3")=0,"-",COUNTIFS(Table16[ประเภท],H224,Table16[ฝ่าย],A238,Table16[สัปดาห์แจ้งซ่อม],"3"))</f>
        <v>-</v>
      </c>
      <c r="I238" s="44" t="str">
        <f>IF(COUNTIFS(Table16[ประเภท],I224,Table16[ฝ่าย],A238,Table16[สัปดาห์แจ้งซ่อม],"3")=0,"-",COUNTIFS(Table16[ประเภท],I224,Table16[ฝ่าย],A238,Table16[สัปดาห์แจ้งซ่อม],"3"))</f>
        <v>-</v>
      </c>
      <c r="J238" s="44" t="str">
        <f>IF(COUNTIFS(Table16[ประเภท],J224,Table16[ฝ่าย],A238,Table16[สัปดาห์แจ้งซ่อม],"3")=0,"-",COUNTIFS(Table16[ประเภท],J224,Table16[ฝ่าย],A238,Table16[สัปดาห์แจ้งซ่อม],"3"))</f>
        <v>-</v>
      </c>
      <c r="K238" s="44" t="str">
        <f>IF(COUNTIFS(Table16[ประเภท],K224,Table16[ฝ่าย],A238,Table16[สัปดาห์แจ้งซ่อม],"3")=0,"-",COUNTIFS(Table16[ประเภท],K224,Table16[ฝ่าย],A238,Table16[สัปดาห์แจ้งซ่อม],"3"))</f>
        <v>-</v>
      </c>
      <c r="L238" s="44" t="str">
        <f>IF(COUNTIFS(Table16[ประเภท],L224,Table16[ฝ่าย],A238,Table16[สัปดาห์แจ้งซ่อม],"3")=0,"-",COUNTIFS(Table16[ประเภท],L224,Table16[ฝ่าย],A238,Table16[สัปดาห์แจ้งซ่อม],"3"))</f>
        <v>-</v>
      </c>
      <c r="M238" s="44" t="str">
        <f>IF(COUNTIFS(Table16[ประเภท],M224,Table16[ฝ่าย],A238,Table16[สัปดาห์แจ้งซ่อม],"3")=0,"-",COUNTIFS(Table16[ประเภท],M224,Table16[ฝ่าย],A238,Table16[สัปดาห์แจ้งซ่อม],"3"))</f>
        <v>-</v>
      </c>
      <c r="N238" s="44" t="str">
        <f>IF(COUNTIFS(Table16[ประเภท],N224,Table16[ฝ่าย],A238,Table16[สัปดาห์แจ้งซ่อม],"3")=0,"-",COUNTIFS(Table16[ประเภท],N224,Table16[ฝ่าย],A238,Table16[สัปดาห์แจ้งซ่อม],"3"))</f>
        <v>-</v>
      </c>
      <c r="O238" s="201"/>
      <c r="P238" s="189" t="str">
        <f>IF(COUNTIFS(Table16[ประเภท],P224,Table16[ฝ่าย],A238,Table16[สัปดาห์แจ้งซ่อม],"3")=0,"-",COUNTIFS(Table16[ประเภท],P224,Table16[ฝ่าย],A238,Table16[สัปดาห์แจ้งซ่อม],"3"))</f>
        <v>-</v>
      </c>
    </row>
    <row r="239" spans="1:16" ht="15" thickBot="1">
      <c r="A239" s="51" t="s">
        <v>67</v>
      </c>
      <c r="B239" s="52">
        <f>SUM(B225:B238)</f>
        <v>7</v>
      </c>
      <c r="C239" s="53">
        <f t="shared" ref="C239" si="17">SUM(C225:C237)</f>
        <v>0.99999999999999978</v>
      </c>
      <c r="D239" s="52">
        <f>SUM(D225:D238)</f>
        <v>0</v>
      </c>
      <c r="E239" s="52">
        <f t="shared" ref="E239:P239" si="18">SUM(E225:E238)</f>
        <v>0</v>
      </c>
      <c r="F239" s="52">
        <f t="shared" si="18"/>
        <v>0</v>
      </c>
      <c r="G239" s="52">
        <f t="shared" si="18"/>
        <v>0</v>
      </c>
      <c r="H239" s="52">
        <f t="shared" si="18"/>
        <v>0</v>
      </c>
      <c r="I239" s="52">
        <f t="shared" si="18"/>
        <v>1</v>
      </c>
      <c r="J239" s="52">
        <f t="shared" si="18"/>
        <v>2</v>
      </c>
      <c r="K239" s="52">
        <f t="shared" si="18"/>
        <v>3</v>
      </c>
      <c r="L239" s="52">
        <f t="shared" si="18"/>
        <v>1</v>
      </c>
      <c r="M239" s="52">
        <f t="shared" si="18"/>
        <v>0</v>
      </c>
      <c r="N239" s="52">
        <f t="shared" si="18"/>
        <v>0</v>
      </c>
      <c r="O239" s="163">
        <f t="shared" si="18"/>
        <v>0</v>
      </c>
      <c r="P239" s="163">
        <f t="shared" si="18"/>
        <v>0</v>
      </c>
    </row>
    <row r="240" spans="1:16" ht="15" thickBot="1">
      <c r="A240" s="54" t="s">
        <v>68</v>
      </c>
      <c r="B240" s="55">
        <f>COUNTIFS(Table16[สถานะ],"เรียบร้อย",Table16[สัปดาห์ที่แก้ไข],3)</f>
        <v>14</v>
      </c>
      <c r="C240" s="56"/>
      <c r="D240" s="2"/>
      <c r="E240" s="2"/>
      <c r="F240" s="2"/>
      <c r="G240" s="2"/>
      <c r="H240" s="2"/>
      <c r="I240" s="2"/>
      <c r="J240" s="2"/>
      <c r="K240" s="2"/>
      <c r="L240" s="2"/>
    </row>
    <row r="241" spans="1:16" ht="15" thickBot="1">
      <c r="A241" s="57" t="s">
        <v>69</v>
      </c>
      <c r="B241" s="58">
        <f>COUNTIFS(Table16[สถานะ],"กำลังดำเนินการ",Table16[สัปดาห์แจ้งซ่อม],3)</f>
        <v>0</v>
      </c>
      <c r="C241" s="56"/>
      <c r="D241" s="2"/>
      <c r="E241" s="2"/>
      <c r="F241" s="2"/>
      <c r="G241" s="2"/>
      <c r="H241" s="2"/>
      <c r="I241" s="2"/>
      <c r="J241" s="2"/>
      <c r="K241" s="2"/>
      <c r="L241" s="2"/>
    </row>
    <row r="242" spans="1:16" ht="15" thickBot="1">
      <c r="A242" s="59" t="s">
        <v>3</v>
      </c>
      <c r="B242" s="60">
        <f>COUNTIFS(Table16[สถานะ],"รอดำเนินการ",Table16[สัปดาห์แจ้งซ่อม],3)</f>
        <v>0</v>
      </c>
      <c r="C242" s="56"/>
      <c r="D242" s="2"/>
      <c r="E242" s="2"/>
      <c r="F242" s="2"/>
      <c r="G242" s="2"/>
      <c r="H242" s="2"/>
      <c r="I242" s="2"/>
      <c r="J242" s="2"/>
      <c r="K242" s="2"/>
      <c r="L242" s="2"/>
    </row>
    <row r="243" spans="1:16" ht="16.2" thickBot="1">
      <c r="A243" s="61" t="s">
        <v>70</v>
      </c>
      <c r="B243" s="62">
        <f>COUNTIFS(Table16[สถานะ],"โอนย้าย",Table16[สัปดาห์แจ้งซ่อม],3)</f>
        <v>1</v>
      </c>
    </row>
    <row r="244" spans="1:16" ht="44.4" customHeight="1" thickBot="1">
      <c r="A244" s="302" t="s">
        <v>460</v>
      </c>
      <c r="B244" s="303"/>
      <c r="C244" s="303"/>
      <c r="D244" s="303"/>
      <c r="E244" s="303"/>
      <c r="F244" s="303"/>
      <c r="G244" s="303"/>
      <c r="H244" s="303"/>
      <c r="I244" s="303"/>
      <c r="J244" s="303"/>
      <c r="K244" s="303"/>
      <c r="L244" s="303"/>
      <c r="M244" s="303"/>
      <c r="N244" s="303"/>
      <c r="O244" s="303"/>
      <c r="P244" s="303"/>
    </row>
    <row r="245" spans="1:16" ht="18.600000000000001" thickBot="1">
      <c r="A245" s="304" t="s">
        <v>368</v>
      </c>
      <c r="B245" s="304" t="s">
        <v>42</v>
      </c>
      <c r="C245" s="306" t="s">
        <v>43</v>
      </c>
      <c r="D245" s="308" t="s">
        <v>44</v>
      </c>
      <c r="E245" s="309"/>
      <c r="F245" s="309"/>
      <c r="G245" s="309"/>
      <c r="H245" s="309"/>
      <c r="I245" s="309"/>
      <c r="J245" s="309"/>
      <c r="K245" s="309"/>
      <c r="L245" s="309"/>
      <c r="M245" s="309"/>
      <c r="N245" s="309"/>
      <c r="O245" s="309"/>
      <c r="P245" s="309"/>
    </row>
    <row r="246" spans="1:16" ht="15" thickBot="1">
      <c r="A246" s="305"/>
      <c r="B246" s="305"/>
      <c r="C246" s="307"/>
      <c r="D246" s="43" t="s">
        <v>45</v>
      </c>
      <c r="E246" s="43" t="s">
        <v>46</v>
      </c>
      <c r="F246" s="44" t="s">
        <v>47</v>
      </c>
      <c r="G246" s="44" t="s">
        <v>48</v>
      </c>
      <c r="H246" s="44" t="s">
        <v>49</v>
      </c>
      <c r="I246" s="44" t="s">
        <v>50</v>
      </c>
      <c r="J246" s="44" t="s">
        <v>51</v>
      </c>
      <c r="K246" s="44" t="s">
        <v>52</v>
      </c>
      <c r="L246" s="45" t="s">
        <v>53</v>
      </c>
      <c r="M246" s="46" t="s">
        <v>72</v>
      </c>
      <c r="N246" s="46" t="s">
        <v>117</v>
      </c>
      <c r="O246" s="161" t="s">
        <v>376</v>
      </c>
      <c r="P246" s="189" t="s">
        <v>357</v>
      </c>
    </row>
    <row r="247" spans="1:16" ht="15" thickBot="1">
      <c r="A247" s="47" t="s">
        <v>54</v>
      </c>
      <c r="B247" s="48">
        <f>COUNTIFS(Table16[ฝ่าย],A247,Table16[สัปดาห์แจ้งซ่อม],4)</f>
        <v>5</v>
      </c>
      <c r="C247" s="49">
        <f>B247/B261</f>
        <v>0.7142857142857143</v>
      </c>
      <c r="D247" s="44" t="str">
        <f>IF(COUNTIFS(Table16[ประเภท],D246,Table16[ฝ่าย],A247,Table16[สัปดาห์แจ้งซ่อม],"4")=0,"-",COUNTIFS(Table16[ประเภท],D246,Table16[ฝ่าย],A247,Table16[สัปดาห์แจ้งซ่อม],"4"))</f>
        <v>-</v>
      </c>
      <c r="E247" s="44" t="str">
        <f>IF(COUNTIFS(Table16[ประเภท],E246,Table16[ฝ่าย],A247,Table16[สัปดาห์แจ้งซ่อม],"4")=0,"-",COUNTIFS(Table16[ประเภท],E246,Table16[ฝ่าย],A247,Table16[สัปดาห์แจ้งซ่อม],"4"))</f>
        <v>-</v>
      </c>
      <c r="F247" s="44" t="str">
        <f>IF(COUNTIFS(Table16[ประเภท],F246,Table16[ฝ่าย],A247,Table16[สัปดาห์แจ้งซ่อม],"4")=0,"-",COUNTIFS(Table16[ประเภท],F246,Table16[ฝ่าย],A247,Table16[สัปดาห์แจ้งซ่อม],"4"))</f>
        <v>-</v>
      </c>
      <c r="G247" s="44">
        <f>IF(COUNTIFS(Table16[ประเภท],G246,Table16[ฝ่าย],A247,Table16[สัปดาห์แจ้งซ่อม],"4")=0,"-",COUNTIFS(Table16[ประเภท],G246,Table16[ฝ่าย],A247,Table16[สัปดาห์แจ้งซ่อม],"4"))</f>
        <v>1</v>
      </c>
      <c r="H247" s="44" t="str">
        <f>IF(COUNTIFS(Table16[ประเภท],H246,Table16[ฝ่าย],A247,Table16[สัปดาห์แจ้งซ่อม],"4")=0,"-",COUNTIFS(Table16[ประเภท],H246,Table16[ฝ่าย],A247,Table16[สัปดาห์แจ้งซ่อม],"4"))</f>
        <v>-</v>
      </c>
      <c r="I247" s="44" t="str">
        <f>IF(COUNTIFS(Table16[ประเภท],I246,Table16[ฝ่าย],A247,Table16[สัปดาห์แจ้งซ่อม],"4")=0,"-",COUNTIFS(Table16[ประเภท],I246,Table16[ฝ่าย],A247,Table16[สัปดาห์แจ้งซ่อม],"4"))</f>
        <v>-</v>
      </c>
      <c r="J247" s="44">
        <f>IF(COUNTIFS(Table16[ประเภท],J246,Table16[ฝ่าย],A247,Table16[สัปดาห์แจ้งซ่อม],"4")=0,"-",COUNTIFS(Table16[ประเภท],J246,Table16[ฝ่าย],A247,Table16[สัปดาห์แจ้งซ่อม],"4"))</f>
        <v>1</v>
      </c>
      <c r="K247" s="44" t="str">
        <f>IF(COUNTIFS(Table16[ประเภท],K246,Table16[ฝ่าย],A247,Table16[สัปดาห์แจ้งซ่อม],"4")=0,"-",COUNTIFS(Table16[ประเภท],K246,Table16[ฝ่าย],A247,Table16[สัปดาห์แจ้งซ่อม],"4"))</f>
        <v>-</v>
      </c>
      <c r="L247" s="44">
        <f>IF(COUNTIFS(Table16[ประเภท],L246,Table16[ฝ่าย],A247,Table16[สัปดาห์แจ้งซ่อม],"4")=0,"-",COUNTIFS(Table16[ประเภท],L246,Table16[ฝ่าย],A247,Table16[สัปดาห์แจ้งซ่อม],"4"))</f>
        <v>1</v>
      </c>
      <c r="M247" s="44">
        <f>IF(COUNTIFS(Table16[ประเภท],M246,Table16[ฝ่าย],A247,Table16[สัปดาห์แจ้งซ่อม],"4")=0,"-",COUNTIFS(Table16[ประเภท],M246,Table16[ฝ่าย],A247,Table16[สัปดาห์แจ้งซ่อม],"4"))</f>
        <v>1</v>
      </c>
      <c r="N247" s="44">
        <f>IF(COUNTIFS(Table16[ประเภท],N246,Table16[ฝ่าย],A247,Table16[สัปดาห์แจ้งซ่อม],"4")=0,"-",COUNTIFS(Table16[ประเภท],N246,Table16[ฝ่าย],A247,Table16[สัปดาห์แจ้งซ่อม],"4"))</f>
        <v>1</v>
      </c>
      <c r="O247" s="162" t="str">
        <f>IF(COUNTIFS(Table16[ประเภท],O246,Table16[ฝ่าย],A247,Table16[สัปดาห์แจ้งซ่อม],"4")=0,"-",COUNTIFS(Table16[ประเภท],O246,Table16[ฝ่าย],A247,Table16[สัปดาห์แจ้งซ่อม],"4"))</f>
        <v>-</v>
      </c>
      <c r="P247" s="190" t="str">
        <f>IF(COUNTIFS(Table16[ประเภท],P246,Table16[ฝ่าย],A247,Table16[สัปดาห์แจ้งซ่อม],"4")=0,"-",COUNTIFS(Table16[ประเภท],P246,Table16[ฝ่าย],A247,Table16[สัปดาห์แจ้งซ่อม],"4"))</f>
        <v>-</v>
      </c>
    </row>
    <row r="248" spans="1:16" ht="15" thickBot="1">
      <c r="A248" s="47" t="s">
        <v>55</v>
      </c>
      <c r="B248" s="48">
        <f>COUNTIFS(Table16[ฝ่าย],A248,Table16[สัปดาห์แจ้งซ่อม],4)</f>
        <v>0</v>
      </c>
      <c r="C248" s="49">
        <f>B248/B261</f>
        <v>0</v>
      </c>
      <c r="D248" s="44" t="str">
        <f>IF(COUNTIFS(Table16[ประเภท],D246,Table16[ฝ่าย],A248,Table16[สัปดาห์แจ้งซ่อม],"4")=0,"-",COUNTIFS(Table16[ประเภท],D246,Table16[ฝ่าย],A248,Table16[สัปดาห์แจ้งซ่อม],"4"))</f>
        <v>-</v>
      </c>
      <c r="E248" s="44" t="str">
        <f>IF(COUNTIFS(Table16[ประเภท],E246,Table16[ฝ่าย],A248,Table16[สัปดาห์แจ้งซ่อม],"4")=0,"-",COUNTIFS(Table16[ประเภท],E246,Table16[ฝ่าย],A248,Table16[สัปดาห์แจ้งซ่อม],"4"))</f>
        <v>-</v>
      </c>
      <c r="F248" s="44" t="str">
        <f>IF(COUNTIFS(Table16[ประเภท],F246,Table16[ฝ่าย],A248,Table16[สัปดาห์แจ้งซ่อม],"4")=0,"-",COUNTIFS(Table16[ประเภท],F246,Table16[ฝ่าย],A248,Table16[สัปดาห์แจ้งซ่อม],"4"))</f>
        <v>-</v>
      </c>
      <c r="G248" s="44" t="str">
        <f>IF(COUNTIFS(Table16[ประเภท],G246,Table16[ฝ่าย],A248,Table16[สัปดาห์แจ้งซ่อม],"4")=0,"-",COUNTIFS(Table16[ประเภท],G246,Table16[ฝ่าย],A248,Table16[สัปดาห์แจ้งซ่อม],"4"))</f>
        <v>-</v>
      </c>
      <c r="H248" s="44" t="str">
        <f>IF(COUNTIFS(Table16[ประเภท],H246,Table16[ฝ่าย],A248,Table16[สัปดาห์แจ้งซ่อม],"4")=0,"-",COUNTIFS(Table16[ประเภท],H246,Table16[ฝ่าย],A248,Table16[สัปดาห์แจ้งซ่อม],"4"))</f>
        <v>-</v>
      </c>
      <c r="I248" s="44" t="str">
        <f>IF(COUNTIFS(Table16[ประเภท],I246,Table16[ฝ่าย],A248,Table16[สัปดาห์แจ้งซ่อม],"4")=0,"-",COUNTIFS(Table16[ประเภท],I246,Table16[ฝ่าย],A248,Table16[สัปดาห์แจ้งซ่อม],"4"))</f>
        <v>-</v>
      </c>
      <c r="J248" s="44" t="str">
        <f>IF(COUNTIFS(Table16[ประเภท],J246,Table16[ฝ่าย],A248,Table16[สัปดาห์แจ้งซ่อม],"4")=0,"-",COUNTIFS(Table16[ประเภท],J246,Table16[ฝ่าย],A248,Table16[สัปดาห์แจ้งซ่อม],"4"))</f>
        <v>-</v>
      </c>
      <c r="K248" s="44" t="str">
        <f>IF(COUNTIFS(Table16[ประเภท],K246,Table16[ฝ่าย],A248,Table16[สัปดาห์แจ้งซ่อม],"4")=0,"-",COUNTIFS(Table16[ประเภท],K246,Table16[ฝ่าย],A248,Table16[สัปดาห์แจ้งซ่อม],"4"))</f>
        <v>-</v>
      </c>
      <c r="L248" s="44" t="str">
        <f>IF(COUNTIFS(Table16[ประเภท],L246,Table16[ฝ่าย],A248,Table16[สัปดาห์แจ้งซ่อม],"4")=0,"-",COUNTIFS(Table16[ประเภท],L246,Table16[ฝ่าย],A248,Table16[สัปดาห์แจ้งซ่อม],"4"))</f>
        <v>-</v>
      </c>
      <c r="M248" s="44" t="str">
        <f>IF(COUNTIFS(Table16[ประเภท],M246,Table16[ฝ่าย],A248,Table16[สัปดาห์แจ้งซ่อม],"4")=0,"-",COUNTIFS(Table16[ประเภท],M246,Table16[ฝ่าย],A248,Table16[สัปดาห์แจ้งซ่อม],"4"))</f>
        <v>-</v>
      </c>
      <c r="N248" s="44" t="str">
        <f>IF(COUNTIFS(Table16[ประเภท],N246,Table16[ฝ่าย],A248,Table16[สัปดาห์แจ้งซ่อม],"4")=0,"-",COUNTIFS(Table16[ประเภท],N246,Table16[ฝ่าย],A248,Table16[สัปดาห์แจ้งซ่อม],"4"))</f>
        <v>-</v>
      </c>
      <c r="O248" s="162"/>
      <c r="P248" s="190" t="str">
        <f>IF(COUNTIFS(Table16[ประเภท],P246,Table16[ฝ่าย],A248,Table16[สัปดาห์แจ้งซ่อม],"4")=0,"-",COUNTIFS(Table16[ประเภท],P246,Table16[ฝ่าย],A248,Table16[สัปดาห์แจ้งซ่อม],"4"))</f>
        <v>-</v>
      </c>
    </row>
    <row r="249" spans="1:16" ht="15" thickBot="1">
      <c r="A249" s="47" t="s">
        <v>56</v>
      </c>
      <c r="B249" s="48">
        <f>COUNTIFS(Table16[ฝ่าย],A249,Table16[สัปดาห์แจ้งซ่อม],4)</f>
        <v>0</v>
      </c>
      <c r="C249" s="49">
        <f>B249/B261</f>
        <v>0</v>
      </c>
      <c r="D249" s="44" t="str">
        <f>IF(COUNTIFS(Table16[ประเภท],D246,Table16[ฝ่าย],A249,Table16[สัปดาห์แจ้งซ่อม],"4")=0,"-",COUNTIFS(Table16[ประเภท],D246,Table16[ฝ่าย],A249,Table16[สัปดาห์แจ้งซ่อม],"4"))</f>
        <v>-</v>
      </c>
      <c r="E249" s="44" t="str">
        <f>IF(COUNTIFS(Table16[ประเภท],E246,Table16[ฝ่าย],A249,Table16[สัปดาห์แจ้งซ่อม],"4")=0,"-",COUNTIFS(Table16[ประเภท],E246,Table16[ฝ่าย],A249,Table16[สัปดาห์แจ้งซ่อม],"4"))</f>
        <v>-</v>
      </c>
      <c r="F249" s="44" t="str">
        <f>IF(COUNTIFS(Table16[ประเภท],F246,Table16[ฝ่าย],A249,Table16[สัปดาห์แจ้งซ่อม],"4")=0,"-",COUNTIFS(Table16[ประเภท],F246,Table16[ฝ่าย],A249,Table16[สัปดาห์แจ้งซ่อม],"4"))</f>
        <v>-</v>
      </c>
      <c r="G249" s="44" t="str">
        <f>IF(COUNTIFS(Table16[ประเภท],G246,Table16[ฝ่าย],A249,Table16[สัปดาห์แจ้งซ่อม],"4")=0,"-",COUNTIFS(Table16[ประเภท],G246,Table16[ฝ่าย],A249,Table16[สัปดาห์แจ้งซ่อม],"4"))</f>
        <v>-</v>
      </c>
      <c r="H249" s="44" t="str">
        <f>IF(COUNTIFS(Table16[ประเภท],H246,Table16[ฝ่าย],A249,Table16[สัปดาห์แจ้งซ่อม],"4")=0,"-",COUNTIFS(Table16[ประเภท],H246,Table16[ฝ่าย],A249,Table16[สัปดาห์แจ้งซ่อม],"4"))</f>
        <v>-</v>
      </c>
      <c r="I249" s="44" t="str">
        <f>IF(COUNTIFS(Table16[ประเภท],I246,Table16[ฝ่าย],A249,Table16[สัปดาห์แจ้งซ่อม],"4")=0,"-",COUNTIFS(Table16[ประเภท],I246,Table16[ฝ่าย],A249,Table16[สัปดาห์แจ้งซ่อม],"4"))</f>
        <v>-</v>
      </c>
      <c r="J249" s="44" t="str">
        <f>IF(COUNTIFS(Table16[ประเภท],J246,Table16[ฝ่าย],A249,Table16[สัปดาห์แจ้งซ่อม],"4")=0,"-",COUNTIFS(Table16[ประเภท],J246,Table16[ฝ่าย],A249,Table16[สัปดาห์แจ้งซ่อม],"4"))</f>
        <v>-</v>
      </c>
      <c r="K249" s="44" t="str">
        <f>IF(COUNTIFS(Table16[ประเภท],K246,Table16[ฝ่าย],A249,Table16[สัปดาห์แจ้งซ่อม],"4")=0,"-",COUNTIFS(Table16[ประเภท],K246,Table16[ฝ่าย],A249,Table16[สัปดาห์แจ้งซ่อม],"4"))</f>
        <v>-</v>
      </c>
      <c r="L249" s="44" t="str">
        <f>IF(COUNTIFS(Table16[ประเภท],L246,Table16[ฝ่าย],A249,Table16[สัปดาห์แจ้งซ่อม],"4")=0,"-",COUNTIFS(Table16[ประเภท],L246,Table16[ฝ่าย],A249,Table16[สัปดาห์แจ้งซ่อม],"4"))</f>
        <v>-</v>
      </c>
      <c r="M249" s="44" t="str">
        <f>IF(COUNTIFS(Table16[ประเภท],M246,Table16[ฝ่าย],A249,Table16[สัปดาห์แจ้งซ่อม],"4")=0,"-",COUNTIFS(Table16[ประเภท],M246,Table16[ฝ่าย],A249,Table16[สัปดาห์แจ้งซ่อม],"4"))</f>
        <v>-</v>
      </c>
      <c r="N249" s="44" t="str">
        <f>IF(COUNTIFS(Table16[ประเภท],N246,Table16[ฝ่าย],A249,Table16[สัปดาห์แจ้งซ่อม],"4")=0,"-",COUNTIFS(Table16[ประเภท],N246,Table16[ฝ่าย],A249,Table16[สัปดาห์แจ้งซ่อม],"4"))</f>
        <v>-</v>
      </c>
      <c r="O249" s="162"/>
      <c r="P249" s="190" t="str">
        <f>IF(COUNTIFS(Table16[ประเภท],P246,Table16[ฝ่าย],A249,Table16[สัปดาห์แจ้งซ่อม],"4")=0,"-",COUNTIFS(Table16[ประเภท],P246,Table16[ฝ่าย],A249,Table16[สัปดาห์แจ้งซ่อม],"4"))</f>
        <v>-</v>
      </c>
    </row>
    <row r="250" spans="1:16" ht="15" thickBot="1">
      <c r="A250" s="47" t="s">
        <v>57</v>
      </c>
      <c r="B250" s="48">
        <f>COUNTIFS(Table16[ฝ่าย],A250,Table16[สัปดาห์แจ้งซ่อม],4)</f>
        <v>0</v>
      </c>
      <c r="C250" s="64">
        <f>B250/B261</f>
        <v>0</v>
      </c>
      <c r="D250" s="44" t="str">
        <f>IF(COUNTIFS(Table16[ประเภท],D246,Table16[ฝ่าย],A250,Table16[สัปดาห์แจ้งซ่อม],"4")=0,"-",COUNTIFS(Table16[ประเภท],D246,Table16[ฝ่าย],A250,Table16[สัปดาห์แจ้งซ่อม],"4"))</f>
        <v>-</v>
      </c>
      <c r="E250" s="44" t="str">
        <f>IF(COUNTIFS(Table16[ประเภท],E246,Table16[ฝ่าย],A250,Table16[สัปดาห์แจ้งซ่อม],"4")=0,"-",COUNTIFS(Table16[ประเภท],E246,Table16[ฝ่าย],A250,Table16[สัปดาห์แจ้งซ่อม],"4"))</f>
        <v>-</v>
      </c>
      <c r="F250" s="44" t="str">
        <f>IF(COUNTIFS(Table16[ประเภท],F246,Table16[ฝ่าย],A250,Table16[สัปดาห์แจ้งซ่อม],"4")=0,"-",COUNTIFS(Table16[ประเภท],F246,Table16[ฝ่าย],A250,Table16[สัปดาห์แจ้งซ่อม],"4"))</f>
        <v>-</v>
      </c>
      <c r="G250" s="44" t="str">
        <f>IF(COUNTIFS(Table16[ประเภท],G246,Table16[ฝ่าย],A250,Table16[สัปดาห์แจ้งซ่อม],"4")=0,"-",COUNTIFS(Table16[ประเภท],G246,Table16[ฝ่าย],A250,Table16[สัปดาห์แจ้งซ่อม],"4"))</f>
        <v>-</v>
      </c>
      <c r="H250" s="44" t="str">
        <f>IF(COUNTIFS(Table16[ประเภท],H246,Table16[ฝ่าย],A250,Table16[สัปดาห์แจ้งซ่อม],"4")=0,"-",COUNTIFS(Table16[ประเภท],H246,Table16[ฝ่าย],A250,Table16[สัปดาห์แจ้งซ่อม],"4"))</f>
        <v>-</v>
      </c>
      <c r="I250" s="44" t="str">
        <f>IF(COUNTIFS(Table16[ประเภท],I246,Table16[ฝ่าย],A250,Table16[สัปดาห์แจ้งซ่อม],"4")=0,"-",COUNTIFS(Table16[ประเภท],I246,Table16[ฝ่าย],A250,Table16[สัปดาห์แจ้งซ่อม],"4"))</f>
        <v>-</v>
      </c>
      <c r="J250" s="44" t="str">
        <f>IF(COUNTIFS(Table16[ประเภท],J246,Table16[ฝ่าย],A250,Table16[สัปดาห์แจ้งซ่อม],"4")=0,"-",COUNTIFS(Table16[ประเภท],J246,Table16[ฝ่าย],A250,Table16[สัปดาห์แจ้งซ่อม],"4"))</f>
        <v>-</v>
      </c>
      <c r="K250" s="44" t="str">
        <f>IF(COUNTIFS(Table16[ประเภท],K246,Table16[ฝ่าย],A250,Table16[สัปดาห์แจ้งซ่อม],"4")=0,"-",COUNTIFS(Table16[ประเภท],K246,Table16[ฝ่าย],A250,Table16[สัปดาห์แจ้งซ่อม],"4"))</f>
        <v>-</v>
      </c>
      <c r="L250" s="44" t="str">
        <f>IF(COUNTIFS(Table16[ประเภท],L246,Table16[ฝ่าย],A250,Table16[สัปดาห์แจ้งซ่อม],"4")=0,"-",COUNTIFS(Table16[ประเภท],L246,Table16[ฝ่าย],A250,Table16[สัปดาห์แจ้งซ่อม],"4"))</f>
        <v>-</v>
      </c>
      <c r="M250" s="44" t="str">
        <f>IF(COUNTIFS(Table16[ประเภท],M246,Table16[ฝ่าย],A250,Table16[สัปดาห์แจ้งซ่อม],"4")=0,"-",COUNTIFS(Table16[ประเภท],M246,Table16[ฝ่าย],A250,Table16[สัปดาห์แจ้งซ่อม],"4"))</f>
        <v>-</v>
      </c>
      <c r="N250" s="44" t="str">
        <f>IF(COUNTIFS(Table16[ประเภท],N246,Table16[ฝ่าย],A250,Table16[สัปดาห์แจ้งซ่อม],"4")=0,"-",COUNTIFS(Table16[ประเภท],N246,Table16[ฝ่าย],A250,Table16[สัปดาห์แจ้งซ่อม],"4"))</f>
        <v>-</v>
      </c>
      <c r="O250" s="162"/>
      <c r="P250" s="190" t="str">
        <f>IF(COUNTIFS(Table16[ประเภท],P246,Table16[ฝ่าย],A250,Table16[สัปดาห์แจ้งซ่อม],"4")=0,"-",COUNTIFS(Table16[ประเภท],P246,Table16[ฝ่าย],A250,Table16[สัปดาห์แจ้งซ่อม],"4"))</f>
        <v>-</v>
      </c>
    </row>
    <row r="251" spans="1:16" ht="15" thickBot="1">
      <c r="A251" s="47" t="s">
        <v>58</v>
      </c>
      <c r="B251" s="48">
        <f>COUNTIFS(Table16[ฝ่าย],A251,Table16[สัปดาห์แจ้งซ่อม],4)</f>
        <v>0</v>
      </c>
      <c r="C251" s="49">
        <f>B251/B261</f>
        <v>0</v>
      </c>
      <c r="D251" s="44" t="str">
        <f>IF(COUNTIFS(Table16[ประเภท],D246,Table16[ฝ่าย],A251,Table16[สัปดาห์แจ้งซ่อม],"4")=0,"-",COUNTIFS(Table16[ประเภท],D246,Table16[ฝ่าย],A251,Table16[สัปดาห์แจ้งซ่อม],"4"))</f>
        <v>-</v>
      </c>
      <c r="E251" s="44" t="str">
        <f>IF(COUNTIFS(Table16[ประเภท],E246,Table16[ฝ่าย],A251,Table16[สัปดาห์แจ้งซ่อม],"4")=0,"-",COUNTIFS(Table16[ประเภท],E246,Table16[ฝ่าย],A251,Table16[สัปดาห์แจ้งซ่อม],"4"))</f>
        <v>-</v>
      </c>
      <c r="F251" s="44" t="str">
        <f>IF(COUNTIFS(Table16[ประเภท],F246,Table16[ฝ่าย],A251,Table16[สัปดาห์แจ้งซ่อม],"4")=0,"-",COUNTIFS(Table16[ประเภท],F246,Table16[ฝ่าย],A251,Table16[สัปดาห์แจ้งซ่อม],"4"))</f>
        <v>-</v>
      </c>
      <c r="G251" s="44" t="str">
        <f>IF(COUNTIFS(Table16[ประเภท],G246,Table16[ฝ่าย],A251,Table16[สัปดาห์แจ้งซ่อม],"4")=0,"-",COUNTIFS(Table16[ประเภท],G246,Table16[ฝ่าย],A251,Table16[สัปดาห์แจ้งซ่อม],"4"))</f>
        <v>-</v>
      </c>
      <c r="H251" s="44" t="str">
        <f>IF(COUNTIFS(Table16[ประเภท],H246,Table16[ฝ่าย],A251,Table16[สัปดาห์แจ้งซ่อม],"4")=0,"-",COUNTIFS(Table16[ประเภท],H246,Table16[ฝ่าย],A251,Table16[สัปดาห์แจ้งซ่อม],"4"))</f>
        <v>-</v>
      </c>
      <c r="I251" s="44" t="str">
        <f>IF(COUNTIFS(Table16[ประเภท],I246,Table16[ฝ่าย],A251,Table16[สัปดาห์แจ้งซ่อม],"4")=0,"-",COUNTIFS(Table16[ประเภท],I246,Table16[ฝ่าย],A251,Table16[สัปดาห์แจ้งซ่อม],"4"))</f>
        <v>-</v>
      </c>
      <c r="J251" s="44" t="str">
        <f>IF(COUNTIFS(Table16[ประเภท],J246,Table16[ฝ่าย],A251,Table16[สัปดาห์แจ้งซ่อม],"4")=0,"-",COUNTIFS(Table16[ประเภท],J246,Table16[ฝ่าย],A251,Table16[สัปดาห์แจ้งซ่อม],"4"))</f>
        <v>-</v>
      </c>
      <c r="K251" s="44" t="str">
        <f>IF(COUNTIFS(Table16[ประเภท],K246,Table16[ฝ่าย],A251,Table16[สัปดาห์แจ้งซ่อม],"4")=0,"-",COUNTIFS(Table16[ประเภท],K246,Table16[ฝ่าย],A251,Table16[สัปดาห์แจ้งซ่อม],"4"))</f>
        <v>-</v>
      </c>
      <c r="L251" s="44" t="str">
        <f>IF(COUNTIFS(Table16[ประเภท],L246,Table16[ฝ่าย],A251,Table16[สัปดาห์แจ้งซ่อม],"4")=0,"-",COUNTIFS(Table16[ประเภท],L246,Table16[ฝ่าย],A251,Table16[สัปดาห์แจ้งซ่อม],"4"))</f>
        <v>-</v>
      </c>
      <c r="M251" s="44" t="str">
        <f>IF(COUNTIFS(Table16[ประเภท],M246,Table16[ฝ่าย],A251,Table16[สัปดาห์แจ้งซ่อม],"4")=0,"-",COUNTIFS(Table16[ประเภท],M246,Table16[ฝ่าย],A251,Table16[สัปดาห์แจ้งซ่อม],"4"))</f>
        <v>-</v>
      </c>
      <c r="N251" s="44" t="str">
        <f>IF(COUNTIFS(Table16[ประเภท],N246,Table16[ฝ่าย],A251,Table16[สัปดาห์แจ้งซ่อม],"4")=0,"-",COUNTIFS(Table16[ประเภท],N246,Table16[ฝ่าย],A251,Table16[สัปดาห์แจ้งซ่อม],"4"))</f>
        <v>-</v>
      </c>
      <c r="O251" s="162"/>
      <c r="P251" s="190" t="str">
        <f>IF(COUNTIFS(Table16[ประเภท],P246,Table16[ฝ่าย],A251,Table16[สัปดาห์แจ้งซ่อม],"4")=0,"-",COUNTIFS(Table16[ประเภท],P246,Table16[ฝ่าย],A251,Table16[สัปดาห์แจ้งซ่อม],"4"))</f>
        <v>-</v>
      </c>
    </row>
    <row r="252" spans="1:16" ht="15" thickBot="1">
      <c r="A252" s="47" t="s">
        <v>59</v>
      </c>
      <c r="B252" s="48">
        <f>COUNTIFS(Table16[ฝ่าย],A252,Table16[สัปดาห์แจ้งซ่อม],4)</f>
        <v>0</v>
      </c>
      <c r="C252" s="49">
        <f>B252/B261</f>
        <v>0</v>
      </c>
      <c r="D252" s="44" t="str">
        <f>IF(COUNTIFS(Table16[ประเภท],D246,Table16[ฝ่าย],A252,Table16[สัปดาห์แจ้งซ่อม],"4")=0,"-",COUNTIFS(Table16[ประเภท],D246,Table16[ฝ่าย],A252,Table16[สัปดาห์แจ้งซ่อม],"4"))</f>
        <v>-</v>
      </c>
      <c r="E252" s="44" t="str">
        <f>IF(COUNTIFS(Table16[ประเภท],E246,Table16[ฝ่าย],A252,Table16[สัปดาห์แจ้งซ่อม],"4")=0,"-",COUNTIFS(Table16[ประเภท],E246,Table16[ฝ่าย],A252,Table16[สัปดาห์แจ้งซ่อม],"4"))</f>
        <v>-</v>
      </c>
      <c r="F252" s="44" t="str">
        <f>IF(COUNTIFS(Table16[ประเภท],F246,Table16[ฝ่าย],A252,Table16[สัปดาห์แจ้งซ่อม],"4")=0,"-",COUNTIFS(Table16[ประเภท],F246,Table16[ฝ่าย],A252,Table16[สัปดาห์แจ้งซ่อม],"4"))</f>
        <v>-</v>
      </c>
      <c r="G252" s="44" t="str">
        <f>IF(COUNTIFS(Table16[ประเภท],G246,Table16[ฝ่าย],A252,Table16[สัปดาห์แจ้งซ่อม],"4")=0,"-",COUNTIFS(Table16[ประเภท],G246,Table16[ฝ่าย],A252,Table16[สัปดาห์แจ้งซ่อม],"4"))</f>
        <v>-</v>
      </c>
      <c r="H252" s="44" t="str">
        <f>IF(COUNTIFS(Table16[ประเภท],H246,Table16[ฝ่าย],A252,Table16[สัปดาห์แจ้งซ่อม],"4")=0,"-",COUNTIFS(Table16[ประเภท],H246,Table16[ฝ่าย],A252,Table16[สัปดาห์แจ้งซ่อม],"4"))</f>
        <v>-</v>
      </c>
      <c r="I252" s="44" t="str">
        <f>IF(COUNTIFS(Table16[ประเภท],I246,Table16[ฝ่าย],A252,Table16[สัปดาห์แจ้งซ่อม],"4")=0,"-",COUNTIFS(Table16[ประเภท],I246,Table16[ฝ่าย],A252,Table16[สัปดาห์แจ้งซ่อม],"4"))</f>
        <v>-</v>
      </c>
      <c r="J252" s="44" t="str">
        <f>IF(COUNTIFS(Table16[ประเภท],J246,Table16[ฝ่าย],A252,Table16[สัปดาห์แจ้งซ่อม],"4")=0,"-",COUNTIFS(Table16[ประเภท],J246,Table16[ฝ่าย],A252,Table16[สัปดาห์แจ้งซ่อม],"4"))</f>
        <v>-</v>
      </c>
      <c r="K252" s="44" t="str">
        <f>IF(COUNTIFS(Table16[ประเภท],K246,Table16[ฝ่าย],A252,Table16[สัปดาห์แจ้งซ่อม],"4")=0,"-",COUNTIFS(Table16[ประเภท],K246,Table16[ฝ่าย],A252,Table16[สัปดาห์แจ้งซ่อม],"4"))</f>
        <v>-</v>
      </c>
      <c r="L252" s="44" t="str">
        <f>IF(COUNTIFS(Table16[ประเภท],L246,Table16[ฝ่าย],A252,Table16[สัปดาห์แจ้งซ่อม],"4")=0,"-",COUNTIFS(Table16[ประเภท],L246,Table16[ฝ่าย],A252,Table16[สัปดาห์แจ้งซ่อม],"4"))</f>
        <v>-</v>
      </c>
      <c r="M252" s="44" t="str">
        <f>IF(COUNTIFS(Table16[ประเภท],M246,Table16[ฝ่าย],A252,Table16[สัปดาห์แจ้งซ่อม],"4")=0,"-",COUNTIFS(Table16[ประเภท],M246,Table16[ฝ่าย],A252,Table16[สัปดาห์แจ้งซ่อม],"4"))</f>
        <v>-</v>
      </c>
      <c r="N252" s="44" t="str">
        <f>IF(COUNTIFS(Table16[ประเภท],N246,Table16[ฝ่าย],A252,Table16[สัปดาห์แจ้งซ่อม],"4")=0,"-",COUNTIFS(Table16[ประเภท],N246,Table16[ฝ่าย],A252,Table16[สัปดาห์แจ้งซ่อม],"4"))</f>
        <v>-</v>
      </c>
      <c r="O252" s="162"/>
      <c r="P252" s="190" t="str">
        <f>IF(COUNTIFS(Table16[ประเภท],P246,Table16[ฝ่าย],A252,Table16[สัปดาห์แจ้งซ่อม],"4")=0,"-",COUNTIFS(Table16[ประเภท],P246,Table16[ฝ่าย],A252,Table16[สัปดาห์แจ้งซ่อม],"4"))</f>
        <v>-</v>
      </c>
    </row>
    <row r="253" spans="1:16" ht="15" thickBot="1">
      <c r="A253" s="47" t="s">
        <v>60</v>
      </c>
      <c r="B253" s="48">
        <f>COUNTIFS(Table16[ฝ่าย],A253,Table16[สัปดาห์แจ้งซ่อม],4)</f>
        <v>0</v>
      </c>
      <c r="C253" s="49">
        <f>B253/B261</f>
        <v>0</v>
      </c>
      <c r="D253" s="44" t="str">
        <f>IF(COUNTIFS(Table16[ประเภท],D246,Table16[ฝ่าย],A253,Table16[สัปดาห์แจ้งซ่อม],"4")=0,"-",COUNTIFS(Table16[ประเภท],D246,Table16[ฝ่าย],A253,Table16[สัปดาห์แจ้งซ่อม],"4"))</f>
        <v>-</v>
      </c>
      <c r="E253" s="44" t="str">
        <f>IF(COUNTIFS(Table16[ประเภท],E246,Table16[ฝ่าย],A253,Table16[สัปดาห์แจ้งซ่อม],"4")=0,"-",COUNTIFS(Table16[ประเภท],E246,Table16[ฝ่าย],A253,Table16[สัปดาห์แจ้งซ่อม],"4"))</f>
        <v>-</v>
      </c>
      <c r="F253" s="44" t="str">
        <f>IF(COUNTIFS(Table16[ประเภท],F246,Table16[ฝ่าย],A253,Table16[สัปดาห์แจ้งซ่อม],"4")=0,"-",COUNTIFS(Table16[ประเภท],F246,Table16[ฝ่าย],A253,Table16[สัปดาห์แจ้งซ่อม],"4"))</f>
        <v>-</v>
      </c>
      <c r="G253" s="44" t="str">
        <f>IF(COUNTIFS(Table16[ประเภท],G246,Table16[ฝ่าย],A253,Table16[สัปดาห์แจ้งซ่อม],"4")=0,"-",COUNTIFS(Table16[ประเภท],G246,Table16[ฝ่าย],A253,Table16[สัปดาห์แจ้งซ่อม],"4"))</f>
        <v>-</v>
      </c>
      <c r="H253" s="44" t="str">
        <f>IF(COUNTIFS(Table16[ประเภท],H246,Table16[ฝ่าย],A253,Table16[สัปดาห์แจ้งซ่อม],"4")=0,"-",COUNTIFS(Table16[ประเภท],H246,Table16[ฝ่าย],A253,Table16[สัปดาห์แจ้งซ่อม],"4"))</f>
        <v>-</v>
      </c>
      <c r="I253" s="44" t="str">
        <f>IF(COUNTIFS(Table16[ประเภท],I246,Table16[ฝ่าย],A253,Table16[สัปดาห์แจ้งซ่อม],"4")=0,"-",COUNTIFS(Table16[ประเภท],I246,Table16[ฝ่าย],A253,Table16[สัปดาห์แจ้งซ่อม],"4"))</f>
        <v>-</v>
      </c>
      <c r="J253" s="44" t="str">
        <f>IF(COUNTIFS(Table16[ประเภท],J246,Table16[ฝ่าย],A253,Table16[สัปดาห์แจ้งซ่อม],"4")=0,"-",COUNTIFS(Table16[ประเภท],J246,Table16[ฝ่าย],A253,Table16[สัปดาห์แจ้งซ่อม],"4"))</f>
        <v>-</v>
      </c>
      <c r="K253" s="44" t="str">
        <f>IF(COUNTIFS(Table16[ประเภท],K246,Table16[ฝ่าย],A253,Table16[สัปดาห์แจ้งซ่อม],"4")=0,"-",COUNTIFS(Table16[ประเภท],K246,Table16[ฝ่าย],A253,Table16[สัปดาห์แจ้งซ่อม],"4"))</f>
        <v>-</v>
      </c>
      <c r="L253" s="44" t="str">
        <f>IF(COUNTIFS(Table16[ประเภท],L246,Table16[ฝ่าย],A253,Table16[สัปดาห์แจ้งซ่อม],"4")=0,"-",COUNTIFS(Table16[ประเภท],L246,Table16[ฝ่าย],A253,Table16[สัปดาห์แจ้งซ่อม],"4"))</f>
        <v>-</v>
      </c>
      <c r="M253" s="44" t="str">
        <f>IF(COUNTIFS(Table16[ประเภท],M246,Table16[ฝ่าย],A253,Table16[สัปดาห์แจ้งซ่อม],"4")=0,"-",COUNTIFS(Table16[ประเภท],M246,Table16[ฝ่าย],A253,Table16[สัปดาห์แจ้งซ่อม],"4"))</f>
        <v>-</v>
      </c>
      <c r="N253" s="44" t="str">
        <f>IF(COUNTIFS(Table16[ประเภท],N246,Table16[ฝ่าย],A253,Table16[สัปดาห์แจ้งซ่อม],"4")=0,"-",COUNTIFS(Table16[ประเภท],N246,Table16[ฝ่าย],A253,Table16[สัปดาห์แจ้งซ่อม],"4"))</f>
        <v>-</v>
      </c>
      <c r="O253" s="162"/>
      <c r="P253" s="190" t="str">
        <f>IF(COUNTIFS(Table16[ประเภท],P246,Table16[ฝ่าย],A253,Table16[สัปดาห์แจ้งซ่อม],"4")=0,"-",COUNTIFS(Table16[ประเภท],P246,Table16[ฝ่าย],A253,Table16[สัปดาห์แจ้งซ่อม],"4"))</f>
        <v>-</v>
      </c>
    </row>
    <row r="254" spans="1:16" ht="15" thickBot="1">
      <c r="A254" s="47" t="s">
        <v>61</v>
      </c>
      <c r="B254" s="48">
        <f>COUNTIFS(Table16[ฝ่าย],A254,Table16[สัปดาห์แจ้งซ่อม],4)</f>
        <v>1</v>
      </c>
      <c r="C254" s="49">
        <f>B254/B261</f>
        <v>0.14285714285714285</v>
      </c>
      <c r="D254" s="44" t="str">
        <f>IF(COUNTIFS(Table16[ประเภท],D246,Table16[ฝ่าย],A254,Table16[สัปดาห์แจ้งซ่อม],"4")=0,"-",COUNTIFS(Table16[ประเภท],D246,Table16[ฝ่าย],A254,Table16[สัปดาห์แจ้งซ่อม],"4"))</f>
        <v>-</v>
      </c>
      <c r="E254" s="44" t="str">
        <f>IF(COUNTIFS(Table16[ประเภท],E246,Table16[ฝ่าย],A254,Table16[สัปดาห์แจ้งซ่อม],"4")=0,"-",COUNTIFS(Table16[ประเภท],E246,Table16[ฝ่าย],A254,Table16[สัปดาห์แจ้งซ่อม],"4"))</f>
        <v>-</v>
      </c>
      <c r="F254" s="44" t="str">
        <f>IF(COUNTIFS(Table16[ประเภท],F246,Table16[ฝ่าย],A254,Table16[สัปดาห์แจ้งซ่อม],"4")=0,"-",COUNTIFS(Table16[ประเภท],F246,Table16[ฝ่าย],A254,Table16[สัปดาห์แจ้งซ่อม],"4"))</f>
        <v>-</v>
      </c>
      <c r="G254" s="44" t="str">
        <f>IF(COUNTIFS(Table16[ประเภท],G246,Table16[ฝ่าย],A254,Table16[สัปดาห์แจ้งซ่อม],"4")=0,"-",COUNTIFS(Table16[ประเภท],G246,Table16[ฝ่าย],A254,Table16[สัปดาห์แจ้งซ่อม],"4"))</f>
        <v>-</v>
      </c>
      <c r="H254" s="44" t="str">
        <f>IF(COUNTIFS(Table16[ประเภท],H246,Table16[ฝ่าย],A254,Table16[สัปดาห์แจ้งซ่อม],"4")=0,"-",COUNTIFS(Table16[ประเภท],H246,Table16[ฝ่าย],A254,Table16[สัปดาห์แจ้งซ่อม],"4"))</f>
        <v>-</v>
      </c>
      <c r="I254" s="44">
        <f>IF(COUNTIFS(Table16[ประเภท],I246,Table16[ฝ่าย],A254,Table16[สัปดาห์แจ้งซ่อม],"4")=0,"-",COUNTIFS(Table16[ประเภท],I246,Table16[ฝ่าย],A254,Table16[สัปดาห์แจ้งซ่อม],"4"))</f>
        <v>1</v>
      </c>
      <c r="J254" s="44" t="str">
        <f>IF(COUNTIFS(Table16[ประเภท],J246,Table16[ฝ่าย],A254,Table16[สัปดาห์แจ้งซ่อม],"4")=0,"-",COUNTIFS(Table16[ประเภท],J246,Table16[ฝ่าย],A254,Table16[สัปดาห์แจ้งซ่อม],"4"))</f>
        <v>-</v>
      </c>
      <c r="K254" s="44" t="str">
        <f>IF(COUNTIFS(Table16[ประเภท],K246,Table16[ฝ่าย],A254,Table16[สัปดาห์แจ้งซ่อม],"4")=0,"-",COUNTIFS(Table16[ประเภท],K246,Table16[ฝ่าย],A254,Table16[สัปดาห์แจ้งซ่อม],"4"))</f>
        <v>-</v>
      </c>
      <c r="L254" s="44" t="str">
        <f>IF(COUNTIFS(Table16[ประเภท],L246,Table16[ฝ่าย],A254,Table16[สัปดาห์แจ้งซ่อม],"4")=0,"-",COUNTIFS(Table16[ประเภท],L246,Table16[ฝ่าย],A254,Table16[สัปดาห์แจ้งซ่อม],"4"))</f>
        <v>-</v>
      </c>
      <c r="M254" s="44" t="str">
        <f>IF(COUNTIFS(Table16[ประเภท],M246,Table16[ฝ่าย],A254,Table16[สัปดาห์แจ้งซ่อม],"4")=0,"-",COUNTIFS(Table16[ประเภท],M246,Table16[ฝ่าย],A254,Table16[สัปดาห์แจ้งซ่อม],"4"))</f>
        <v>-</v>
      </c>
      <c r="N254" s="44" t="str">
        <f>IF(COUNTIFS(Table16[ประเภท],N246,Table16[ฝ่าย],A254,Table16[สัปดาห์แจ้งซ่อม],"4")=0,"-",COUNTIFS(Table16[ประเภท],N246,Table16[ฝ่าย],A254,Table16[สัปดาห์แจ้งซ่อม],"4"))</f>
        <v>-</v>
      </c>
      <c r="O254" s="162"/>
      <c r="P254" s="190" t="str">
        <f>IF(COUNTIFS(Table16[ประเภท],P246,Table16[ฝ่าย],A254,Table16[สัปดาห์แจ้งซ่อม],"4")=0,"-",COUNTIFS(Table16[ประเภท],P246,Table16[ฝ่าย],A254,Table16[สัปดาห์แจ้งซ่อม],"4"))</f>
        <v>-</v>
      </c>
    </row>
    <row r="255" spans="1:16" ht="15" thickBot="1">
      <c r="A255" s="47" t="s">
        <v>62</v>
      </c>
      <c r="B255" s="48">
        <f>COUNTIFS(Table16[ฝ่าย],A255,Table16[สัปดาห์แจ้งซ่อม],4)</f>
        <v>0</v>
      </c>
      <c r="C255" s="49">
        <f>B255/B261</f>
        <v>0</v>
      </c>
      <c r="D255" s="44" t="str">
        <f>IF(COUNTIFS(Table16[ประเภท],D246,Table16[ฝ่าย],A255,Table16[สัปดาห์แจ้งซ่อม],"4")=0,"-",COUNTIFS(Table16[ประเภท],D246,Table16[ฝ่าย],A255,Table16[สัปดาห์แจ้งซ่อม],"4"))</f>
        <v>-</v>
      </c>
      <c r="E255" s="44" t="str">
        <f>IF(COUNTIFS(Table16[ประเภท],E246,Table16[ฝ่าย],A255,Table16[สัปดาห์แจ้งซ่อม],"4")=0,"-",COUNTIFS(Table16[ประเภท],E246,Table16[ฝ่าย],A255,Table16[สัปดาห์แจ้งซ่อม],"4"))</f>
        <v>-</v>
      </c>
      <c r="F255" s="44" t="str">
        <f>IF(COUNTIFS(Table16[ประเภท],F246,Table16[ฝ่าย],A255,Table16[สัปดาห์แจ้งซ่อม],"4")=0,"-",COUNTIFS(Table16[ประเภท],F246,Table16[ฝ่าย],A255,Table16[สัปดาห์แจ้งซ่อม],"4"))</f>
        <v>-</v>
      </c>
      <c r="G255" s="44" t="str">
        <f>IF(COUNTIFS(Table16[ประเภท],G246,Table16[ฝ่าย],A255,Table16[สัปดาห์แจ้งซ่อม],"4")=0,"-",COUNTIFS(Table16[ประเภท],G246,Table16[ฝ่าย],A255,Table16[สัปดาห์แจ้งซ่อม],"4"))</f>
        <v>-</v>
      </c>
      <c r="H255" s="44" t="str">
        <f>IF(COUNTIFS(Table16[ประเภท],H246,Table16[ฝ่าย],A255,Table16[สัปดาห์แจ้งซ่อม],"4")=0,"-",COUNTIFS(Table16[ประเภท],H246,Table16[ฝ่าย],A255,Table16[สัปดาห์แจ้งซ่อม],"4"))</f>
        <v>-</v>
      </c>
      <c r="I255" s="44" t="str">
        <f>IF(COUNTIFS(Table16[ประเภท],I246,Table16[ฝ่าย],A255,Table16[สัปดาห์แจ้งซ่อม],"4")=0,"-",COUNTIFS(Table16[ประเภท],I246,Table16[ฝ่าย],A255,Table16[สัปดาห์แจ้งซ่อม],"4"))</f>
        <v>-</v>
      </c>
      <c r="J255" s="44" t="str">
        <f>IF(COUNTIFS(Table16[ประเภท],J246,Table16[ฝ่าย],A255,Table16[สัปดาห์แจ้งซ่อม],"4")=0,"-",COUNTIFS(Table16[ประเภท],J246,Table16[ฝ่าย],A255,Table16[สัปดาห์แจ้งซ่อม],"4"))</f>
        <v>-</v>
      </c>
      <c r="K255" s="44" t="str">
        <f>IF(COUNTIFS(Table16[ประเภท],K246,Table16[ฝ่าย],A255,Table16[สัปดาห์แจ้งซ่อม],"4")=0,"-",COUNTIFS(Table16[ประเภท],K246,Table16[ฝ่าย],A255,Table16[สัปดาห์แจ้งซ่อม],"4"))</f>
        <v>-</v>
      </c>
      <c r="L255" s="44" t="str">
        <f>IF(COUNTIFS(Table16[ประเภท],L246,Table16[ฝ่าย],A255,Table16[สัปดาห์แจ้งซ่อม],"4")=0,"-",COUNTIFS(Table16[ประเภท],L246,Table16[ฝ่าย],A255,Table16[สัปดาห์แจ้งซ่อม],"4"))</f>
        <v>-</v>
      </c>
      <c r="M255" s="44" t="str">
        <f>IF(COUNTIFS(Table16[ประเภท],M246,Table16[ฝ่าย],A255,Table16[สัปดาห์แจ้งซ่อม],"4")=0,"-",COUNTIFS(Table16[ประเภท],M246,Table16[ฝ่าย],A255,Table16[สัปดาห์แจ้งซ่อม],"4"))</f>
        <v>-</v>
      </c>
      <c r="N255" s="44" t="str">
        <f>IF(COUNTIFS(Table16[ประเภท],N246,Table16[ฝ่าย],A255,Table16[สัปดาห์แจ้งซ่อม],"4")=0,"-",COUNTIFS(Table16[ประเภท],N246,Table16[ฝ่าย],A255,Table16[สัปดาห์แจ้งซ่อม],"4"))</f>
        <v>-</v>
      </c>
      <c r="O255" s="162"/>
      <c r="P255" s="190" t="str">
        <f>IF(COUNTIFS(Table16[ประเภท],P246,Table16[ฝ่าย],A255,Table16[สัปดาห์แจ้งซ่อม],"4")=0,"-",COUNTIFS(Table16[ประเภท],P246,Table16[ฝ่าย],A255,Table16[สัปดาห์แจ้งซ่อม],"4"))</f>
        <v>-</v>
      </c>
    </row>
    <row r="256" spans="1:16" ht="15" thickBot="1">
      <c r="A256" s="47" t="s">
        <v>63</v>
      </c>
      <c r="B256" s="48">
        <f>COUNTIFS(Table16[ฝ่าย],A256,Table16[สัปดาห์แจ้งซ่อม],4)</f>
        <v>0</v>
      </c>
      <c r="C256" s="50">
        <f>B256/B261</f>
        <v>0</v>
      </c>
      <c r="D256" s="44" t="str">
        <f>IF(COUNTIFS(Table16[ประเภท],D246,Table16[ฝ่าย],A256,Table16[สัปดาห์แจ้งซ่อม],"4")=0,"-",COUNTIFS(Table16[ประเภท],D246,Table16[ฝ่าย],A256,Table16[สัปดาห์แจ้งซ่อม],"4"))</f>
        <v>-</v>
      </c>
      <c r="E256" s="44" t="str">
        <f>IF(COUNTIFS(Table16[ประเภท],E246,Table16[ฝ่าย],A256,Table16[สัปดาห์แจ้งซ่อม],"4")=0,"-",COUNTIFS(Table16[ประเภท],E246,Table16[ฝ่าย],A256,Table16[สัปดาห์แจ้งซ่อม],"4"))</f>
        <v>-</v>
      </c>
      <c r="F256" s="44" t="str">
        <f>IF(COUNTIFS(Table16[ประเภท],F246,Table16[ฝ่าย],A256,Table16[สัปดาห์แจ้งซ่อม],"4")=0,"-",COUNTIFS(Table16[ประเภท],F246,Table16[ฝ่าย],A256,Table16[สัปดาห์แจ้งซ่อม],"4"))</f>
        <v>-</v>
      </c>
      <c r="G256" s="44" t="str">
        <f>IF(COUNTIFS(Table16[ประเภท],G246,Table16[ฝ่าย],A256,Table16[สัปดาห์แจ้งซ่อม],"4")=0,"-",COUNTIFS(Table16[ประเภท],G246,Table16[ฝ่าย],A256,Table16[สัปดาห์แจ้งซ่อม],"4"))</f>
        <v>-</v>
      </c>
      <c r="H256" s="44" t="str">
        <f>IF(COUNTIFS(Table16[ประเภท],H246,Table16[ฝ่าย],A256,Table16[สัปดาห์แจ้งซ่อม],"4")=0,"-",COUNTIFS(Table16[ประเภท],H246,Table16[ฝ่าย],A256,Table16[สัปดาห์แจ้งซ่อม],"4"))</f>
        <v>-</v>
      </c>
      <c r="I256" s="44" t="str">
        <f>IF(COUNTIFS(Table16[ประเภท],I246,Table16[ฝ่าย],A256,Table16[สัปดาห์แจ้งซ่อม],"4")=0,"-",COUNTIFS(Table16[ประเภท],I246,Table16[ฝ่าย],A256,Table16[สัปดาห์แจ้งซ่อม],"4"))</f>
        <v>-</v>
      </c>
      <c r="J256" s="44" t="str">
        <f>IF(COUNTIFS(Table16[ประเภท],J246,Table16[ฝ่าย],A256,Table16[สัปดาห์แจ้งซ่อม],"4")=0,"-",COUNTIFS(Table16[ประเภท],J246,Table16[ฝ่าย],A256,Table16[สัปดาห์แจ้งซ่อม],"4"))</f>
        <v>-</v>
      </c>
      <c r="K256" s="44" t="str">
        <f>IF(COUNTIFS(Table16[ประเภท],K246,Table16[ฝ่าย],A256,Table16[สัปดาห์แจ้งซ่อม],"4")=0,"-",COUNTIFS(Table16[ประเภท],K246,Table16[ฝ่าย],A256,Table16[สัปดาห์แจ้งซ่อม],"4"))</f>
        <v>-</v>
      </c>
      <c r="L256" s="44" t="str">
        <f>IF(COUNTIFS(Table16[ประเภท],L246,Table16[ฝ่าย],A256,Table16[สัปดาห์แจ้งซ่อม],"4")=0,"-",COUNTIFS(Table16[ประเภท],L246,Table16[ฝ่าย],A256,Table16[สัปดาห์แจ้งซ่อม],"4"))</f>
        <v>-</v>
      </c>
      <c r="M256" s="44" t="str">
        <f>IF(COUNTIFS(Table16[ประเภท],M246,Table16[ฝ่าย],A256,Table16[สัปดาห์แจ้งซ่อม],"4")=0,"-",COUNTIFS(Table16[ประเภท],M246,Table16[ฝ่าย],A256,Table16[สัปดาห์แจ้งซ่อม],"4"))</f>
        <v>-</v>
      </c>
      <c r="N256" s="44" t="str">
        <f>IF(COUNTIFS(Table16[ประเภท],N246,Table16[ฝ่าย],A256,Table16[สัปดาห์แจ้งซ่อม],"4")=0,"-",COUNTIFS(Table16[ประเภท],N246,Table16[ฝ่าย],A256,Table16[สัปดาห์แจ้งซ่อม],"4"))</f>
        <v>-</v>
      </c>
      <c r="O256" s="162"/>
      <c r="P256" s="190" t="str">
        <f>IF(COUNTIFS(Table16[ประเภท],P246,Table16[ฝ่าย],A256,Table16[สัปดาห์แจ้งซ่อม],"4")=0,"-",COUNTIFS(Table16[ประเภท],P246,Table16[ฝ่าย],A256,Table16[สัปดาห์แจ้งซ่อม],"4"))</f>
        <v>-</v>
      </c>
    </row>
    <row r="257" spans="1:16" ht="15" thickBot="1">
      <c r="A257" s="47" t="s">
        <v>64</v>
      </c>
      <c r="B257" s="48">
        <f>COUNTIFS(Table16[ฝ่าย],A257,Table16[สัปดาห์แจ้งซ่อม],4)</f>
        <v>0</v>
      </c>
      <c r="C257" s="50">
        <f>B257/B261</f>
        <v>0</v>
      </c>
      <c r="D257" s="44" t="str">
        <f>IF(COUNTIFS(Table16[ประเภท],D246,Table16[ฝ่าย],A257,Table16[สัปดาห์แจ้งซ่อม],"4")=0,"-",COUNTIFS(Table16[ประเภท],D246,Table16[ฝ่าย],A257,Table16[สัปดาห์แจ้งซ่อม],"4"))</f>
        <v>-</v>
      </c>
      <c r="E257" s="44" t="str">
        <f>IF(COUNTIFS(Table16[ประเภท],E246,Table16[ฝ่าย],A257,Table16[สัปดาห์แจ้งซ่อม],"4")=0,"-",COUNTIFS(Table16[ประเภท],E246,Table16[ฝ่าย],A257,Table16[สัปดาห์แจ้งซ่อม],"4"))</f>
        <v>-</v>
      </c>
      <c r="F257" s="44" t="str">
        <f>IF(COUNTIFS(Table16[ประเภท],F246,Table16[ฝ่าย],A257,Table16[สัปดาห์แจ้งซ่อม],"4")=0,"-",COUNTIFS(Table16[ประเภท],F246,Table16[ฝ่าย],A257,Table16[สัปดาห์แจ้งซ่อม],"4"))</f>
        <v>-</v>
      </c>
      <c r="G257" s="44" t="str">
        <f>IF(COUNTIFS(Table16[ประเภท],G246,Table16[ฝ่าย],A257,Table16[สัปดาห์แจ้งซ่อม],"4")=0,"-",COUNTIFS(Table16[ประเภท],G246,Table16[ฝ่าย],A257,Table16[สัปดาห์แจ้งซ่อม],"4"))</f>
        <v>-</v>
      </c>
      <c r="H257" s="44" t="str">
        <f>IF(COUNTIFS(Table16[ประเภท],H246,Table16[ฝ่าย],A257,Table16[สัปดาห์แจ้งซ่อม],"4")=0,"-",COUNTIFS(Table16[ประเภท],H246,Table16[ฝ่าย],A257,Table16[สัปดาห์แจ้งซ่อม],"4"))</f>
        <v>-</v>
      </c>
      <c r="I257" s="44" t="str">
        <f>IF(COUNTIFS(Table16[ประเภท],I246,Table16[ฝ่าย],A257,Table16[สัปดาห์แจ้งซ่อม],"4")=0,"-",COUNTIFS(Table16[ประเภท],I246,Table16[ฝ่าย],A257,Table16[สัปดาห์แจ้งซ่อม],"4"))</f>
        <v>-</v>
      </c>
      <c r="J257" s="44" t="str">
        <f>IF(COUNTIFS(Table16[ประเภท],J246,Table16[ฝ่าย],A257,Table16[สัปดาห์แจ้งซ่อม],"4")=0,"-",COUNTIFS(Table16[ประเภท],J246,Table16[ฝ่าย],A257,Table16[สัปดาห์แจ้งซ่อม],"4"))</f>
        <v>-</v>
      </c>
      <c r="K257" s="44" t="str">
        <f>IF(COUNTIFS(Table16[ประเภท],K246,Table16[ฝ่าย],A257,Table16[สัปดาห์แจ้งซ่อม],"4")=0,"-",COUNTIFS(Table16[ประเภท],K246,Table16[ฝ่าย],A257,Table16[สัปดาห์แจ้งซ่อม],"4"))</f>
        <v>-</v>
      </c>
      <c r="L257" s="44" t="str">
        <f>IF(COUNTIFS(Table16[ประเภท],L246,Table16[ฝ่าย],A257,Table16[สัปดาห์แจ้งซ่อม],"4")=0,"-",COUNTIFS(Table16[ประเภท],L246,Table16[ฝ่าย],A257,Table16[สัปดาห์แจ้งซ่อม],"4"))</f>
        <v>-</v>
      </c>
      <c r="M257" s="44" t="str">
        <f>IF(COUNTIFS(Table16[ประเภท],M246,Table16[ฝ่าย],A257,Table16[สัปดาห์แจ้งซ่อม],"4")=0,"-",COUNTIFS(Table16[ประเภท],M246,Table16[ฝ่าย],A257,Table16[สัปดาห์แจ้งซ่อม],"4"))</f>
        <v>-</v>
      </c>
      <c r="N257" s="44" t="str">
        <f>IF(COUNTIFS(Table16[ประเภท],N246,Table16[ฝ่าย],A257,Table16[สัปดาห์แจ้งซ่อม],"4")=0,"-",COUNTIFS(Table16[ประเภท],N246,Table16[ฝ่าย],A257,Table16[สัปดาห์แจ้งซ่อม],"4"))</f>
        <v>-</v>
      </c>
      <c r="O257" s="162"/>
      <c r="P257" s="190" t="str">
        <f>IF(COUNTIFS(Table16[ประเภท],P246,Table16[ฝ่าย],A257,Table16[สัปดาห์แจ้งซ่อม],"4")=0,"-",COUNTIFS(Table16[ประเภท],P246,Table16[ฝ่าย],A257,Table16[สัปดาห์แจ้งซ่อม],"4"))</f>
        <v>-</v>
      </c>
    </row>
    <row r="258" spans="1:16" ht="15" thickBot="1">
      <c r="A258" s="47" t="s">
        <v>65</v>
      </c>
      <c r="B258" s="48">
        <f>COUNTIFS(Table16[ฝ่าย],A258,Table16[สัปดาห์แจ้งซ่อม],4)</f>
        <v>0</v>
      </c>
      <c r="C258" s="50">
        <f>B258/B261</f>
        <v>0</v>
      </c>
      <c r="D258" s="44" t="str">
        <f>IF(COUNTIFS(Table16[ประเภท],D246,Table16[ฝ่าย],A258,Table16[สัปดาห์แจ้งซ่อม],"4")=0,"-",COUNTIFS(Table16[ประเภท],D246,Table16[ฝ่าย],A258,Table16[สัปดาห์แจ้งซ่อม],"4"))</f>
        <v>-</v>
      </c>
      <c r="E258" s="44" t="str">
        <f>IF(COUNTIFS(Table16[ประเภท],E246,Table16[ฝ่าย],A258,Table16[สัปดาห์แจ้งซ่อม],"4")=0,"-",COUNTIFS(Table16[ประเภท],E246,Table16[ฝ่าย],A258,Table16[สัปดาห์แจ้งซ่อม],"4"))</f>
        <v>-</v>
      </c>
      <c r="F258" s="44" t="str">
        <f>IF(COUNTIFS(Table16[ประเภท],F246,Table16[ฝ่าย],A258,Table16[สัปดาห์แจ้งซ่อม],"4")=0,"-",COUNTIFS(Table16[ประเภท],F246,Table16[ฝ่าย],A258,Table16[สัปดาห์แจ้งซ่อม],"4"))</f>
        <v>-</v>
      </c>
      <c r="G258" s="44" t="str">
        <f>IF(COUNTIFS(Table16[ประเภท],G246,Table16[ฝ่าย],A258,Table16[สัปดาห์แจ้งซ่อม],"4")=0,"-",COUNTIFS(Table16[ประเภท],G246,Table16[ฝ่าย],A258,Table16[สัปดาห์แจ้งซ่อม],"4"))</f>
        <v>-</v>
      </c>
      <c r="H258" s="44" t="str">
        <f>IF(COUNTIFS(Table16[ประเภท],H246,Table16[ฝ่าย],A258,Table16[สัปดาห์แจ้งซ่อม],"4")=0,"-",COUNTIFS(Table16[ประเภท],H246,Table16[ฝ่าย],A258,Table16[สัปดาห์แจ้งซ่อม],"4"))</f>
        <v>-</v>
      </c>
      <c r="I258" s="44" t="str">
        <f>IF(COUNTIFS(Table16[ประเภท],I246,Table16[ฝ่าย],A258,Table16[สัปดาห์แจ้งซ่อม],"4")=0,"-",COUNTIFS(Table16[ประเภท],I246,Table16[ฝ่าย],A258,Table16[สัปดาห์แจ้งซ่อม],"4"))</f>
        <v>-</v>
      </c>
      <c r="J258" s="44" t="str">
        <f>IF(COUNTIFS(Table16[ประเภท],J246,Table16[ฝ่าย],A258,Table16[สัปดาห์แจ้งซ่อม],"4")=0,"-",COUNTIFS(Table16[ประเภท],J246,Table16[ฝ่าย],A258,Table16[สัปดาห์แจ้งซ่อม],"4"))</f>
        <v>-</v>
      </c>
      <c r="K258" s="44" t="str">
        <f>IF(COUNTIFS(Table16[ประเภท],K246,Table16[ฝ่าย],A258,Table16[สัปดาห์แจ้งซ่อม],"4")=0,"-",COUNTIFS(Table16[ประเภท],K246,Table16[ฝ่าย],A258,Table16[สัปดาห์แจ้งซ่อม],"4"))</f>
        <v>-</v>
      </c>
      <c r="L258" s="44" t="str">
        <f>IF(COUNTIFS(Table16[ประเภท],L246,Table16[ฝ่าย],A258,Table16[สัปดาห์แจ้งซ่อม],"4")=0,"-",COUNTIFS(Table16[ประเภท],L246,Table16[ฝ่าย],A258,Table16[สัปดาห์แจ้งซ่อม],"4"))</f>
        <v>-</v>
      </c>
      <c r="M258" s="44" t="str">
        <f>IF(COUNTIFS(Table16[ประเภท],M246,Table16[ฝ่าย],A258,Table16[สัปดาห์แจ้งซ่อม],"4")=0,"-",COUNTIFS(Table16[ประเภท],M246,Table16[ฝ่าย],A258,Table16[สัปดาห์แจ้งซ่อม],"4"))</f>
        <v>-</v>
      </c>
      <c r="N258" s="44" t="str">
        <f>IF(COUNTIFS(Table16[ประเภท],N246,Table16[ฝ่าย],A258,Table16[สัปดาห์แจ้งซ่อม],"4")=0,"-",COUNTIFS(Table16[ประเภท],N246,Table16[ฝ่าย],A258,Table16[สัปดาห์แจ้งซ่อม],"4"))</f>
        <v>-</v>
      </c>
      <c r="O258" s="162"/>
      <c r="P258" s="190" t="str">
        <f>IF(COUNTIFS(Table16[ประเภท],P246,Table16[ฝ่าย],A258,Table16[สัปดาห์แจ้งซ่อม],"4")=0,"-",COUNTIFS(Table16[ประเภท],P246,Table16[ฝ่าย],A258,Table16[สัปดาห์แจ้งซ่อม],"4"))</f>
        <v>-</v>
      </c>
    </row>
    <row r="259" spans="1:16" ht="15" thickBot="1">
      <c r="A259" s="47" t="s">
        <v>66</v>
      </c>
      <c r="B259" s="48">
        <f>COUNTIFS(Table16[ฝ่าย],A259,Table16[สัปดาห์แจ้งซ่อม],4)</f>
        <v>0</v>
      </c>
      <c r="C259" s="50">
        <f>B259/B261</f>
        <v>0</v>
      </c>
      <c r="D259" s="44" t="str">
        <f>IF(COUNTIFS(Table16[ประเภท],D246,Table16[ฝ่าย],A259,Table16[สัปดาห์แจ้งซ่อม],"4")=0,"-",COUNTIFS(Table16[ประเภท],D246,Table16[ฝ่าย],A256,Table16[สัปดาห์แจ้งซ่อม],"4"))</f>
        <v>-</v>
      </c>
      <c r="E259" s="44" t="str">
        <f>IF(COUNTIFS(Table16[ประเภท],E246,Table16[ฝ่าย],A259,Table16[สัปดาห์แจ้งซ่อม],"4")=0,"-",COUNTIFS(Table16[ประเภท],E246,Table16[ฝ่าย],A256,Table16[สัปดาห์แจ้งซ่อม],"4"))</f>
        <v>-</v>
      </c>
      <c r="F259" s="44" t="str">
        <f>IF(COUNTIFS(Table16[ประเภท],F246,Table16[ฝ่าย],A259,Table16[สัปดาห์แจ้งซ่อม],"4")=0,"-",COUNTIFS(Table16[ประเภท],F246,Table16[ฝ่าย],A259,Table16[สัปดาห์แจ้งซ่อม],"4"))</f>
        <v>-</v>
      </c>
      <c r="G259" s="44" t="str">
        <f>IF(COUNTIFS(Table16[ประเภท],G246,Table16[ฝ่าย],A259,Table16[สัปดาห์แจ้งซ่อม],"4")=0,"-",COUNTIFS(Table16[ประเภท],G246,Table16[ฝ่าย],A259,Table16[สัปดาห์แจ้งซ่อม],"4"))</f>
        <v>-</v>
      </c>
      <c r="H259" s="44" t="str">
        <f>IF(COUNTIFS(Table16[ประเภท],H246,Table16[ฝ่าย],A259,Table16[สัปดาห์แจ้งซ่อม],"4")=0,"-",COUNTIFS(Table16[ประเภท],H246,Table16[ฝ่าย],A259,Table16[สัปดาห์แจ้งซ่อม],"4"))</f>
        <v>-</v>
      </c>
      <c r="I259" s="44" t="str">
        <f>IF(COUNTIFS(Table16[ประเภท],I246,Table16[ฝ่าย],A259,Table16[สัปดาห์แจ้งซ่อม],"4")=0,"-",COUNTIFS(Table16[ประเภท],I246,Table16[ฝ่าย],A259,Table16[สัปดาห์แจ้งซ่อม],"4"))</f>
        <v>-</v>
      </c>
      <c r="J259" s="44" t="str">
        <f>IF(COUNTIFS(Table16[ประเภท],J246,Table16[ฝ่าย],A259,Table16[สัปดาห์แจ้งซ่อม],"4")=0,"-",COUNTIFS(Table16[ประเภท],J246,Table16[ฝ่าย],A259,Table16[สัปดาห์แจ้งซ่อม],"4"))</f>
        <v>-</v>
      </c>
      <c r="K259" s="44" t="str">
        <f>IF(COUNTIFS(Table16[ประเภท],K246,Table16[ฝ่าย],A259,Table16[สัปดาห์แจ้งซ่อม],"4")=0,"-",COUNTIFS(Table16[ประเภท],K246,Table16[ฝ่าย],A259,Table16[สัปดาห์แจ้งซ่อม],"4"))</f>
        <v>-</v>
      </c>
      <c r="L259" s="44" t="str">
        <f>IF(COUNTIFS(Table16[ประเภท],L246,Table16[ฝ่าย],A259,Table16[สัปดาห์แจ้งซ่อม],"4")=0,"-",COUNTIFS(Table16[ประเภท],L246,Table16[ฝ่าย],A259,Table16[สัปดาห์แจ้งซ่อม],"4"))</f>
        <v>-</v>
      </c>
      <c r="M259" s="44" t="str">
        <f>IF(COUNTIFS(Table16[ประเภท],M246,Table16[ฝ่าย],A259,Table16[สัปดาห์แจ้งซ่อม],"4")=0,"-",COUNTIFS(Table16[ประเภท],M246,Table16[ฝ่าย],A259,Table16[สัปดาห์แจ้งซ่อม],"4"))</f>
        <v>-</v>
      </c>
      <c r="N259" s="44" t="str">
        <f>IF(COUNTIFS(Table16[ประเภท],N246,Table16[ฝ่าย],A259,Table16[สัปดาห์แจ้งซ่อม],"4")=0,"-",COUNTIFS(Table16[ประเภท],N246,Table16[ฝ่าย],A259,Table16[สัปดาห์แจ้งซ่อม],"4"))</f>
        <v>-</v>
      </c>
      <c r="O259" s="162"/>
      <c r="P259" s="190" t="str">
        <f>IF(COUNTIFS(Table16[ประเภท],P246,Table16[ฝ่าย],A259,Table16[สัปดาห์แจ้งซ่อม],"4")=0,"-",COUNTIFS(Table16[ประเภท],P246,Table16[ฝ่าย],A259,Table16[สัปดาห์แจ้งซ่อม],"4"))</f>
        <v>-</v>
      </c>
    </row>
    <row r="260" spans="1:16" ht="15" thickBot="1">
      <c r="A260" s="47" t="s">
        <v>120</v>
      </c>
      <c r="B260" s="48">
        <f>COUNTIFS(Table16[ฝ่าย],A260,Table16[สัปดาห์แจ้งซ่อม],4)</f>
        <v>1</v>
      </c>
      <c r="C260" s="50">
        <f>B260/B261</f>
        <v>0.14285714285714285</v>
      </c>
      <c r="D260" s="44" t="str">
        <f>IF(COUNTIFS(Table16[ประเภท],D246,Table16[ฝ่าย],A260,Table16[สัปดาห์แจ้งซ่อม],"4")=0,"-",COUNTIFS(Table16[ประเภท],D246,Table16[ฝ่าย],A260,Table16[สัปดาห์แจ้งซ่อม],"4"))</f>
        <v>-</v>
      </c>
      <c r="E260" s="44" t="str">
        <f>IF(COUNTIFS(Table16[ประเภท],E246,Table16[ฝ่าย],A260,Table16[สัปดาห์แจ้งซ่อม],"4")=0,"-",COUNTIFS(Table16[ประเภท],E246,Table16[ฝ่าย],A260,Table16[สัปดาห์แจ้งซ่อม],"4"))</f>
        <v>-</v>
      </c>
      <c r="F260" s="44" t="str">
        <f>IF(COUNTIFS(Table16[ประเภท],F246,Table16[ฝ่าย],A260,Table16[สัปดาห์แจ้งซ่อม],"4")=0,"-",COUNTIFS(Table16[ประเภท],F246,Table16[ฝ่าย],A260,Table16[สัปดาห์แจ้งซ่อม],"4"))</f>
        <v>-</v>
      </c>
      <c r="G260" s="44" t="str">
        <f>IF(COUNTIFS(Table16[ประเภท],G246,Table16[ฝ่าย],A260,Table16[สัปดาห์แจ้งซ่อม],"4")=0,"-",COUNTIFS(Table16[ประเภท],G246,Table16[ฝ่าย],A260,Table16[สัปดาห์แจ้งซ่อม],"4"))</f>
        <v>-</v>
      </c>
      <c r="H260" s="44">
        <f>IF(COUNTIFS(Table16[ประเภท],H246,Table16[ฝ่าย],A260,Table16[สัปดาห์แจ้งซ่อม],"4")=0,"-",COUNTIFS(Table16[ประเภท],H246,Table16[ฝ่าย],A260,Table16[สัปดาห์แจ้งซ่อม],"4"))</f>
        <v>1</v>
      </c>
      <c r="I260" s="44" t="str">
        <f>IF(COUNTIFS(Table16[ประเภท],I246,Table16[ฝ่าย],A260,Table16[สัปดาห์แจ้งซ่อม],"4")=0,"-",COUNTIFS(Table16[ประเภท],I246,Table16[ฝ่าย],A260,Table16[สัปดาห์แจ้งซ่อม],"4"))</f>
        <v>-</v>
      </c>
      <c r="J260" s="44" t="str">
        <f>IF(COUNTIFS(Table16[ประเภท],J246,Table16[ฝ่าย],A260,Table16[สัปดาห์แจ้งซ่อม],"4")=0,"-",COUNTIFS(Table16[ประเภท],J246,Table16[ฝ่าย],A260,Table16[สัปดาห์แจ้งซ่อม],"4"))</f>
        <v>-</v>
      </c>
      <c r="K260" s="44" t="str">
        <f>IF(COUNTIFS(Table16[ประเภท],K246,Table16[ฝ่าย],A260,Table16[สัปดาห์แจ้งซ่อม],"4")=0,"-",COUNTIFS(Table16[ประเภท],K246,Table16[ฝ่าย],A260,Table16[สัปดาห์แจ้งซ่อม],"4"))</f>
        <v>-</v>
      </c>
      <c r="L260" s="44" t="str">
        <f>IF(COUNTIFS(Table16[ประเภท],L246,Table16[ฝ่าย],A260,Table16[สัปดาห์แจ้งซ่อม],"4")=0,"-",COUNTIFS(Table16[ประเภท],L246,Table16[ฝ่าย],A260,Table16[สัปดาห์แจ้งซ่อม],"4"))</f>
        <v>-</v>
      </c>
      <c r="M260" s="44" t="str">
        <f>IF(COUNTIFS(Table16[ประเภท],M246,Table16[ฝ่าย],A260,Table16[สัปดาห์แจ้งซ่อม],"4")=0,"-",COUNTIFS(Table16[ประเภท],M246,Table16[ฝ่าย],A260,Table16[สัปดาห์แจ้งซ่อม],"4"))</f>
        <v>-</v>
      </c>
      <c r="N260" s="44" t="str">
        <f>IF(COUNTIFS(Table16[ประเภท],N246,Table16[ฝ่าย],A260,Table16[สัปดาห์แจ้งซ่อม],"4")=0,"-",COUNTIFS(Table16[ประเภท],N246,Table16[ฝ่าย],A260,Table16[สัปดาห์แจ้งซ่อม],"4"))</f>
        <v>-</v>
      </c>
      <c r="O260" s="162"/>
      <c r="P260" s="190" t="str">
        <f>IF(COUNTIFS(Table16[ประเภท],P246,Table16[ฝ่าย],A260,Table16[สัปดาห์แจ้งซ่อม],"4")=0,"-",COUNTIFS(Table16[ประเภท],P246,Table16[ฝ่าย],A260,Table16[สัปดาห์แจ้งซ่อม],"4"))</f>
        <v>-</v>
      </c>
    </row>
    <row r="261" spans="1:16" ht="15" thickBot="1">
      <c r="A261" s="51" t="s">
        <v>67</v>
      </c>
      <c r="B261" s="52">
        <f>SUM(B247:B260)</f>
        <v>7</v>
      </c>
      <c r="C261" s="53">
        <f t="shared" ref="C261" si="19">SUM(C247:C259)</f>
        <v>0.85714285714285721</v>
      </c>
      <c r="D261" s="52">
        <f>SUM(D247:D260)</f>
        <v>0</v>
      </c>
      <c r="E261" s="52">
        <f t="shared" ref="E261:P261" si="20">SUM(E247:E260)</f>
        <v>0</v>
      </c>
      <c r="F261" s="52">
        <f t="shared" si="20"/>
        <v>0</v>
      </c>
      <c r="G261" s="52">
        <f t="shared" si="20"/>
        <v>1</v>
      </c>
      <c r="H261" s="52">
        <f t="shared" si="20"/>
        <v>1</v>
      </c>
      <c r="I261" s="52">
        <f t="shared" si="20"/>
        <v>1</v>
      </c>
      <c r="J261" s="52">
        <f t="shared" si="20"/>
        <v>1</v>
      </c>
      <c r="K261" s="52">
        <f t="shared" si="20"/>
        <v>0</v>
      </c>
      <c r="L261" s="52">
        <f t="shared" si="20"/>
        <v>1</v>
      </c>
      <c r="M261" s="52">
        <f t="shared" si="20"/>
        <v>1</v>
      </c>
      <c r="N261" s="52">
        <f t="shared" si="20"/>
        <v>1</v>
      </c>
      <c r="O261" s="163">
        <f t="shared" si="20"/>
        <v>0</v>
      </c>
      <c r="P261" s="163">
        <f t="shared" si="20"/>
        <v>0</v>
      </c>
    </row>
    <row r="262" spans="1:16" ht="15" thickBot="1">
      <c r="A262" s="54" t="s">
        <v>68</v>
      </c>
      <c r="B262" s="55">
        <f>COUNTIFS(Table16[สถานะ],"เรียบร้อย",Table16[สัปดาห์แจ้งซ่อม],4)</f>
        <v>5</v>
      </c>
      <c r="C262" s="56"/>
      <c r="D262" s="2"/>
      <c r="E262" s="2"/>
      <c r="F262" s="2"/>
      <c r="G262" s="2"/>
      <c r="H262" s="2"/>
      <c r="I262" s="2"/>
      <c r="J262" s="2"/>
      <c r="K262" s="2"/>
      <c r="L262" s="2"/>
    </row>
    <row r="263" spans="1:16" ht="15" thickBot="1">
      <c r="A263" s="57" t="s">
        <v>69</v>
      </c>
      <c r="B263" s="58">
        <f>COUNTIFS(Table16[สถานะ],"กำลังดำเนินการ",Table16[สัปดาห์แจ้งซ่อม],4)</f>
        <v>0</v>
      </c>
      <c r="C263" s="56"/>
      <c r="D263" s="2"/>
      <c r="E263" s="2"/>
      <c r="F263" s="2"/>
      <c r="G263" s="2"/>
      <c r="H263" s="2"/>
      <c r="I263" s="2"/>
      <c r="J263" s="2"/>
      <c r="K263" s="2"/>
      <c r="L263" s="2"/>
    </row>
    <row r="264" spans="1:16" ht="15" thickBot="1">
      <c r="A264" s="59" t="s">
        <v>3</v>
      </c>
      <c r="B264" s="60">
        <f>COUNTIFS(Table16[สถานะ],"รอดำเนินการ",Table16[สัปดาห์แจ้งซ่อม],4)</f>
        <v>0</v>
      </c>
      <c r="C264" s="56"/>
      <c r="D264" s="2"/>
      <c r="E264" s="2"/>
      <c r="F264" s="2"/>
      <c r="G264" s="2"/>
      <c r="H264" s="2"/>
      <c r="I264" s="2"/>
      <c r="J264" s="2"/>
      <c r="K264" s="2"/>
      <c r="L264" s="2"/>
    </row>
    <row r="265" spans="1:16" ht="16.2" thickBot="1">
      <c r="A265" s="61" t="s">
        <v>70</v>
      </c>
      <c r="B265" s="62">
        <f>COUNTIFS(Table16[สถานะ],"โอนย้าย",Table16[สัปดาห์แจ้งซ่อม],4)</f>
        <v>2</v>
      </c>
    </row>
  </sheetData>
  <mergeCells count="71">
    <mergeCell ref="B134:B135"/>
    <mergeCell ref="C134:C135"/>
    <mergeCell ref="D134:P134"/>
    <mergeCell ref="A133:P133"/>
    <mergeCell ref="A1:L1"/>
    <mergeCell ref="D2:L2"/>
    <mergeCell ref="A23:M23"/>
    <mergeCell ref="D24:M24"/>
    <mergeCell ref="A68:A69"/>
    <mergeCell ref="B68:B69"/>
    <mergeCell ref="C68:C69"/>
    <mergeCell ref="D68:P68"/>
    <mergeCell ref="A67:P67"/>
    <mergeCell ref="A134:A135"/>
    <mergeCell ref="A112:A113"/>
    <mergeCell ref="B112:B113"/>
    <mergeCell ref="R46:R47"/>
    <mergeCell ref="R58:R59"/>
    <mergeCell ref="R45:AC45"/>
    <mergeCell ref="A2:A3"/>
    <mergeCell ref="A24:A25"/>
    <mergeCell ref="A46:A47"/>
    <mergeCell ref="B2:B3"/>
    <mergeCell ref="B24:B25"/>
    <mergeCell ref="B46:B47"/>
    <mergeCell ref="C2:C3"/>
    <mergeCell ref="C24:C25"/>
    <mergeCell ref="C46:C47"/>
    <mergeCell ref="P46:P47"/>
    <mergeCell ref="D46:O46"/>
    <mergeCell ref="A45:O45"/>
    <mergeCell ref="Q46:Q47"/>
    <mergeCell ref="C112:C113"/>
    <mergeCell ref="D112:P112"/>
    <mergeCell ref="A111:P111"/>
    <mergeCell ref="P48:P57"/>
    <mergeCell ref="P58:P59"/>
    <mergeCell ref="Q58:Q59"/>
    <mergeCell ref="A90:A91"/>
    <mergeCell ref="B90:B91"/>
    <mergeCell ref="C90:C91"/>
    <mergeCell ref="D90:P90"/>
    <mergeCell ref="A89:P89"/>
    <mergeCell ref="A156:O156"/>
    <mergeCell ref="A157:A158"/>
    <mergeCell ref="B157:B158"/>
    <mergeCell ref="C157:C158"/>
    <mergeCell ref="D157:O157"/>
    <mergeCell ref="P157:P158"/>
    <mergeCell ref="P159:P168"/>
    <mergeCell ref="P169:P170"/>
    <mergeCell ref="A178:P178"/>
    <mergeCell ref="A179:A180"/>
    <mergeCell ref="B179:B180"/>
    <mergeCell ref="C179:C180"/>
    <mergeCell ref="D179:P179"/>
    <mergeCell ref="A200:P200"/>
    <mergeCell ref="A201:A202"/>
    <mergeCell ref="B201:B202"/>
    <mergeCell ref="C201:C202"/>
    <mergeCell ref="D201:P201"/>
    <mergeCell ref="A222:P222"/>
    <mergeCell ref="A223:A224"/>
    <mergeCell ref="B223:B224"/>
    <mergeCell ref="C223:C224"/>
    <mergeCell ref="D223:P223"/>
    <mergeCell ref="A244:P244"/>
    <mergeCell ref="A245:A246"/>
    <mergeCell ref="B245:B246"/>
    <mergeCell ref="C245:C246"/>
    <mergeCell ref="D245:P245"/>
  </mergeCells>
  <conditionalFormatting sqref="B4:B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{4F5FCAB5-EEAE-47F8-95AF-9C664E05E632}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{5DA1467C-44D3-4DE4-A584-999268B4D7E9}</x14:id>
        </ext>
      </extLst>
    </cfRule>
  </conditionalFormatting>
  <conditionalFormatting sqref="B26:B3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{507E6AC7-39E1-4052-94D3-398A17FC044D}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{D74A58EB-11B9-40ED-B288-AEFBEB3C06A9}</x14:id>
        </ext>
      </extLst>
    </cfRule>
  </conditionalFormatting>
  <conditionalFormatting sqref="B48:B6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{03F89831-0E78-4281-8549-DE54D2FD49F8}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{4660F01A-0E8F-44AD-AAFE-9E4E3B970BBD}</x14:id>
        </ext>
      </extLst>
    </cfRule>
  </conditionalFormatting>
  <conditionalFormatting sqref="B70:B83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{2C8D95E8-605D-4841-86A0-06163C928310}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{33E29BFE-8577-45CA-96F5-07EB0DCAF32B}</x14:id>
        </ext>
      </extLst>
    </cfRule>
  </conditionalFormatting>
  <conditionalFormatting sqref="B92:B10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{EA0ADF72-D7A0-4133-97B3-4B374FCF5A1F}</x14:id>
        </ext>
      </extLst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{18FC488B-98A5-4AA7-8F23-387612900354}</x14:id>
        </ext>
      </extLst>
    </cfRule>
  </conditionalFormatting>
  <conditionalFormatting sqref="B114:B127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{01EDA1BD-4FC3-4312-A275-DF2445648472}</x14:id>
        </ext>
      </extLst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{021BED99-B32D-4135-9E16-5E457F4B194E}</x14:id>
        </ext>
      </extLst>
    </cfRule>
  </conditionalFormatting>
  <conditionalFormatting sqref="B136:B14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{132D8168-B1C3-4D4F-BC03-B52A5A1DE899}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{A87B40C9-AAC7-42C5-AFEE-F68BB0B2084C}</x14:id>
        </ext>
      </extLst>
    </cfRule>
  </conditionalFormatting>
  <conditionalFormatting sqref="B159:B17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{3CE9EC04-8043-4BC0-876B-7015D3F7CA96}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{A89F7860-48AF-426C-90A6-1B592607D0B4}</x14:id>
        </ext>
      </extLst>
    </cfRule>
  </conditionalFormatting>
  <conditionalFormatting sqref="B181:B19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{48F062F5-410F-4579-A0E8-794F262AFAE9}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{9B55E490-93A3-4619-AC4F-15122A35AC37}</x14:id>
        </ext>
      </extLst>
    </cfRule>
  </conditionalFormatting>
  <conditionalFormatting sqref="B203:B2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{AAE66863-948C-4D78-92F0-B3C679CB667A}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{416ABF18-67AB-4C38-9DE6-5BE62F2DFE5D}</x14:id>
        </ext>
      </extLst>
    </cfRule>
  </conditionalFormatting>
  <conditionalFormatting sqref="B225:B23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{2FE1494D-58F6-40BB-87A7-A2BE95055CBB}</x14:id>
        </ext>
      </extLst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{39897B13-859A-4B63-BB0B-4E2210FB13AD}</x14:id>
        </ext>
      </extLst>
    </cfRule>
  </conditionalFormatting>
  <conditionalFormatting sqref="B247:B26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{1562787F-093D-448E-BC7F-B4D9C97444B2}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{35CCC0FB-E5CE-4647-B90C-BFB0734DF4F3}</x14:id>
        </ext>
      </extLst>
    </cfRule>
  </conditionalFormatting>
  <pageMargins left="0.7" right="0.7" top="0.75" bottom="0.75" header="0.3" footer="0.3"/>
  <pageSetup paperSize="9" scale="10" orientation="landscape" r:id="rId1"/>
  <ignoredErrors>
    <ignoredError sqref="C106 D49 M49 C128 N160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FCAB5-EEAE-47F8-95AF-9C664E05E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DA1467C-44D3-4DE4-A584-999268B4D7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B4:B16</xm:sqref>
        </x14:conditionalFormatting>
        <x14:conditionalFormatting xmlns:xm="http://schemas.microsoft.com/office/excel/2006/main">
          <x14:cfRule type="dataBar" id="{507E6AC7-39E1-4052-94D3-398A17FC0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4A58EB-11B9-40ED-B288-AEFBEB3C0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B26:B38</xm:sqref>
        </x14:conditionalFormatting>
        <x14:conditionalFormatting xmlns:xm="http://schemas.microsoft.com/office/excel/2006/main">
          <x14:cfRule type="dataBar" id="{03F89831-0E78-4281-8549-DE54D2FD49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660F01A-0E8F-44AD-AAFE-9E4E3B970B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B48:B61</xm:sqref>
        </x14:conditionalFormatting>
        <x14:conditionalFormatting xmlns:xm="http://schemas.microsoft.com/office/excel/2006/main">
          <x14:cfRule type="dataBar" id="{2C8D95E8-605D-4841-86A0-06163C9283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3E29BFE-8577-45CA-96F5-07EB0DCAF3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B70:B83</xm:sqref>
        </x14:conditionalFormatting>
        <x14:conditionalFormatting xmlns:xm="http://schemas.microsoft.com/office/excel/2006/main">
          <x14:cfRule type="dataBar" id="{EA0ADF72-D7A0-4133-97B3-4B374FCF5A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FC488B-98A5-4AA7-8F23-3876129003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B92:B105</xm:sqref>
        </x14:conditionalFormatting>
        <x14:conditionalFormatting xmlns:xm="http://schemas.microsoft.com/office/excel/2006/main">
          <x14:cfRule type="dataBar" id="{01EDA1BD-4FC3-4312-A275-DF244564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21BED99-B32D-4135-9E16-5E457F4B19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B114:B127</xm:sqref>
        </x14:conditionalFormatting>
        <x14:conditionalFormatting xmlns:xm="http://schemas.microsoft.com/office/excel/2006/main">
          <x14:cfRule type="dataBar" id="{132D8168-B1C3-4D4F-BC03-B52A5A1DE8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7B40C9-AAC7-42C5-AFEE-F68BB0B208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B136:B149</xm:sqref>
        </x14:conditionalFormatting>
        <x14:conditionalFormatting xmlns:xm="http://schemas.microsoft.com/office/excel/2006/main">
          <x14:cfRule type="dataBar" id="{3CE9EC04-8043-4BC0-876B-7015D3F7CA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9F7860-48AF-426C-90A6-1B592607D0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B159:B172</xm:sqref>
        </x14:conditionalFormatting>
        <x14:conditionalFormatting xmlns:xm="http://schemas.microsoft.com/office/excel/2006/main">
          <x14:cfRule type="dataBar" id="{48F062F5-410F-4579-A0E8-794F262AFA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B55E490-93A3-4619-AC4F-15122A35AC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B181:B194</xm:sqref>
        </x14:conditionalFormatting>
        <x14:conditionalFormatting xmlns:xm="http://schemas.microsoft.com/office/excel/2006/main">
          <x14:cfRule type="dataBar" id="{AAE66863-948C-4D78-92F0-B3C679CB66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6ABF18-67AB-4C38-9DE6-5BE62F2DFE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B203:B216</xm:sqref>
        </x14:conditionalFormatting>
        <x14:conditionalFormatting xmlns:xm="http://schemas.microsoft.com/office/excel/2006/main">
          <x14:cfRule type="dataBar" id="{2FE1494D-58F6-40BB-87A7-A2BE95055C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9897B13-859A-4B63-BB0B-4E2210FB13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B225:B238</xm:sqref>
        </x14:conditionalFormatting>
        <x14:conditionalFormatting xmlns:xm="http://schemas.microsoft.com/office/excel/2006/main">
          <x14:cfRule type="dataBar" id="{1562787F-093D-448E-BC7F-B4D9C97444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5CCC0FB-E5CE-4647-B90C-BFB0734DF4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B247:B260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5" tint="0.59999389629810485"/>
  </sheetPr>
  <dimension ref="A1:S317"/>
  <sheetViews>
    <sheetView tabSelected="1" topLeftCell="A293" zoomScale="75" zoomScaleNormal="85" zoomScaleSheetLayoutView="85" workbookViewId="0">
      <selection activeCell="M339" sqref="M339"/>
    </sheetView>
  </sheetViews>
  <sheetFormatPr defaultColWidth="9" defaultRowHeight="14.4"/>
  <cols>
    <col min="1" max="1" width="7.5546875" style="67" customWidth="1"/>
    <col min="2" max="2" width="18.6640625" style="67" customWidth="1"/>
    <col min="3" max="3" width="17.44140625" style="67" customWidth="1"/>
    <col min="4" max="4" width="9.88671875" style="67" customWidth="1"/>
    <col min="5" max="5" width="42" style="67" customWidth="1"/>
    <col min="6" max="6" width="11" style="68" customWidth="1"/>
    <col min="7" max="7" width="14.44140625" style="67" customWidth="1"/>
    <col min="8" max="8" width="13.77734375" style="69" customWidth="1"/>
    <col min="9" max="9" width="33.6640625" style="67" customWidth="1"/>
    <col min="10" max="10" width="15.88671875" style="198" bestFit="1" customWidth="1"/>
    <col min="11" max="11" width="14" style="69" customWidth="1"/>
    <col min="12" max="12" width="16.44140625" style="67" bestFit="1" customWidth="1"/>
    <col min="13" max="13" width="20" style="67" customWidth="1"/>
    <col min="14" max="14" width="16.44140625" style="67" customWidth="1"/>
    <col min="15" max="15" width="21.77734375" style="67" bestFit="1" customWidth="1"/>
    <col min="16" max="16" width="12.44140625" style="67" customWidth="1"/>
    <col min="17" max="16384" width="9" style="67"/>
  </cols>
  <sheetData>
    <row r="1" spans="1:11" ht="30" customHeight="1">
      <c r="A1" s="320"/>
      <c r="B1" s="328" t="s">
        <v>165</v>
      </c>
      <c r="C1" s="329"/>
      <c r="D1" s="329"/>
      <c r="E1" s="329"/>
      <c r="F1" s="329"/>
      <c r="G1" s="329"/>
      <c r="H1" s="329"/>
      <c r="I1" s="329"/>
      <c r="J1" s="329"/>
      <c r="K1" s="330"/>
    </row>
    <row r="2" spans="1:11" ht="30" customHeight="1">
      <c r="A2" s="326"/>
      <c r="B2" s="331" t="s">
        <v>166</v>
      </c>
      <c r="C2" s="332"/>
      <c r="D2" s="332"/>
      <c r="E2" s="332"/>
      <c r="F2" s="332"/>
      <c r="G2" s="332"/>
      <c r="H2" s="332"/>
      <c r="I2" s="332"/>
      <c r="J2" s="332"/>
      <c r="K2" s="333"/>
    </row>
    <row r="3" spans="1:11">
      <c r="A3" s="70" t="s">
        <v>75</v>
      </c>
      <c r="B3" s="71" t="s">
        <v>167</v>
      </c>
      <c r="C3" s="71" t="s">
        <v>168</v>
      </c>
      <c r="D3" s="71" t="s">
        <v>169</v>
      </c>
      <c r="E3" s="72" t="s">
        <v>170</v>
      </c>
      <c r="F3" s="73" t="s">
        <v>77</v>
      </c>
      <c r="G3" s="73" t="s">
        <v>74</v>
      </c>
      <c r="H3" s="74" t="s">
        <v>171</v>
      </c>
      <c r="I3" s="72" t="s">
        <v>110</v>
      </c>
      <c r="J3" s="75" t="s">
        <v>172</v>
      </c>
      <c r="K3" s="76" t="s">
        <v>111</v>
      </c>
    </row>
    <row r="4" spans="1:11">
      <c r="A4" s="77">
        <v>1</v>
      </c>
      <c r="B4" s="78" t="s">
        <v>83</v>
      </c>
      <c r="C4" s="78" t="s">
        <v>54</v>
      </c>
      <c r="D4" s="79" t="s">
        <v>173</v>
      </c>
      <c r="E4" s="78" t="s">
        <v>174</v>
      </c>
      <c r="F4" s="80" t="s">
        <v>90</v>
      </c>
      <c r="G4" s="80" t="s">
        <v>45</v>
      </c>
      <c r="H4" s="81">
        <v>244456</v>
      </c>
      <c r="I4" s="78" t="s">
        <v>124</v>
      </c>
      <c r="J4" s="82" t="s">
        <v>68</v>
      </c>
      <c r="K4" s="83">
        <v>244456</v>
      </c>
    </row>
    <row r="5" spans="1:11">
      <c r="A5" s="77">
        <v>2</v>
      </c>
      <c r="B5" s="78" t="s">
        <v>79</v>
      </c>
      <c r="C5" s="78" t="s">
        <v>54</v>
      </c>
      <c r="D5" s="78" t="s">
        <v>175</v>
      </c>
      <c r="E5" s="78" t="s">
        <v>80</v>
      </c>
      <c r="F5" s="80">
        <v>9</v>
      </c>
      <c r="G5" s="80" t="s">
        <v>48</v>
      </c>
      <c r="H5" s="81">
        <v>244455</v>
      </c>
      <c r="I5" s="78" t="s">
        <v>176</v>
      </c>
      <c r="J5" s="84" t="s">
        <v>70</v>
      </c>
      <c r="K5" s="83"/>
    </row>
    <row r="6" spans="1:11">
      <c r="A6" s="77">
        <v>3</v>
      </c>
      <c r="B6" s="78" t="s">
        <v>79</v>
      </c>
      <c r="C6" s="78" t="s">
        <v>54</v>
      </c>
      <c r="D6" s="78" t="s">
        <v>175</v>
      </c>
      <c r="E6" s="78" t="s">
        <v>82</v>
      </c>
      <c r="F6" s="80">
        <v>6</v>
      </c>
      <c r="G6" s="80" t="s">
        <v>46</v>
      </c>
      <c r="H6" s="81">
        <v>244455</v>
      </c>
      <c r="I6" s="78" t="s">
        <v>146</v>
      </c>
      <c r="J6" s="84" t="s">
        <v>70</v>
      </c>
      <c r="K6" s="83"/>
    </row>
    <row r="7" spans="1:11">
      <c r="A7" s="77">
        <v>4</v>
      </c>
      <c r="B7" s="78" t="s">
        <v>83</v>
      </c>
      <c r="C7" s="78" t="s">
        <v>54</v>
      </c>
      <c r="D7" s="78" t="s">
        <v>175</v>
      </c>
      <c r="E7" s="78" t="s">
        <v>85</v>
      </c>
      <c r="F7" s="80" t="s">
        <v>163</v>
      </c>
      <c r="G7" s="80" t="s">
        <v>52</v>
      </c>
      <c r="H7" s="81">
        <v>244456</v>
      </c>
      <c r="I7" s="78" t="s">
        <v>84</v>
      </c>
      <c r="J7" s="84" t="s">
        <v>70</v>
      </c>
      <c r="K7" s="83"/>
    </row>
    <row r="8" spans="1:11">
      <c r="A8" s="77">
        <v>5</v>
      </c>
      <c r="B8" s="78" t="s">
        <v>177</v>
      </c>
      <c r="C8" s="78" t="s">
        <v>55</v>
      </c>
      <c r="D8" s="78" t="s">
        <v>173</v>
      </c>
      <c r="E8" s="78" t="s">
        <v>178</v>
      </c>
      <c r="F8" s="80">
        <v>8</v>
      </c>
      <c r="G8" s="80" t="s">
        <v>46</v>
      </c>
      <c r="H8" s="81">
        <v>244456</v>
      </c>
      <c r="I8" s="78" t="s">
        <v>124</v>
      </c>
      <c r="J8" s="82" t="s">
        <v>68</v>
      </c>
      <c r="K8" s="83">
        <v>244457</v>
      </c>
    </row>
    <row r="9" spans="1:11">
      <c r="A9" s="77">
        <v>6</v>
      </c>
      <c r="B9" s="78" t="s">
        <v>56</v>
      </c>
      <c r="C9" s="78" t="s">
        <v>56</v>
      </c>
      <c r="D9" s="78" t="s">
        <v>175</v>
      </c>
      <c r="E9" s="85" t="s">
        <v>179</v>
      </c>
      <c r="F9" s="80">
        <v>10</v>
      </c>
      <c r="G9" s="80" t="s">
        <v>46</v>
      </c>
      <c r="H9" s="81">
        <v>244457</v>
      </c>
      <c r="I9" s="78" t="s">
        <v>124</v>
      </c>
      <c r="J9" s="82" t="s">
        <v>68</v>
      </c>
      <c r="K9" s="83">
        <v>244457</v>
      </c>
    </row>
    <row r="10" spans="1:11">
      <c r="A10" s="77">
        <v>7</v>
      </c>
      <c r="B10" s="78" t="s">
        <v>87</v>
      </c>
      <c r="C10" s="78" t="s">
        <v>54</v>
      </c>
      <c r="D10" s="78" t="s">
        <v>173</v>
      </c>
      <c r="E10" s="78" t="s">
        <v>180</v>
      </c>
      <c r="F10" s="80">
        <v>12</v>
      </c>
      <c r="G10" s="80" t="s">
        <v>52</v>
      </c>
      <c r="H10" s="81">
        <v>244459</v>
      </c>
      <c r="I10" s="78" t="s">
        <v>181</v>
      </c>
      <c r="J10" s="84" t="s">
        <v>70</v>
      </c>
      <c r="K10" s="83"/>
    </row>
    <row r="11" spans="1:11">
      <c r="A11" s="77">
        <v>8</v>
      </c>
      <c r="B11" s="78" t="s">
        <v>87</v>
      </c>
      <c r="C11" s="78" t="s">
        <v>54</v>
      </c>
      <c r="D11" s="78" t="s">
        <v>173</v>
      </c>
      <c r="E11" s="78" t="s">
        <v>182</v>
      </c>
      <c r="F11" s="80">
        <v>12</v>
      </c>
      <c r="G11" s="80" t="s">
        <v>51</v>
      </c>
      <c r="H11" s="81">
        <v>244459</v>
      </c>
      <c r="I11" s="78" t="s">
        <v>183</v>
      </c>
      <c r="J11" s="84" t="s">
        <v>68</v>
      </c>
      <c r="K11" s="83"/>
    </row>
    <row r="12" spans="1:11">
      <c r="A12" s="77">
        <v>9</v>
      </c>
      <c r="B12" s="78" t="s">
        <v>184</v>
      </c>
      <c r="C12" s="78" t="s">
        <v>54</v>
      </c>
      <c r="D12" s="78" t="s">
        <v>185</v>
      </c>
      <c r="E12" s="78" t="s">
        <v>186</v>
      </c>
      <c r="F12" s="80">
        <v>15</v>
      </c>
      <c r="G12" s="80" t="s">
        <v>45</v>
      </c>
      <c r="H12" s="81">
        <v>244459</v>
      </c>
      <c r="I12" s="78" t="s">
        <v>187</v>
      </c>
      <c r="J12" s="82" t="s">
        <v>68</v>
      </c>
      <c r="K12" s="83">
        <v>244460</v>
      </c>
    </row>
    <row r="13" spans="1:11">
      <c r="A13" s="77">
        <v>10</v>
      </c>
      <c r="B13" s="78" t="s">
        <v>188</v>
      </c>
      <c r="C13" s="78" t="s">
        <v>54</v>
      </c>
      <c r="D13" s="78" t="s">
        <v>175</v>
      </c>
      <c r="E13" s="78" t="s">
        <v>189</v>
      </c>
      <c r="F13" s="80" t="s">
        <v>90</v>
      </c>
      <c r="G13" s="80" t="s">
        <v>51</v>
      </c>
      <c r="H13" s="81">
        <v>244460</v>
      </c>
      <c r="I13" s="78" t="s">
        <v>190</v>
      </c>
      <c r="J13" s="82" t="s">
        <v>68</v>
      </c>
      <c r="K13" s="83">
        <v>244460</v>
      </c>
    </row>
    <row r="14" spans="1:11">
      <c r="A14" s="77">
        <v>11</v>
      </c>
      <c r="B14" s="78" t="s">
        <v>188</v>
      </c>
      <c r="C14" s="78" t="s">
        <v>54</v>
      </c>
      <c r="D14" s="78" t="s">
        <v>175</v>
      </c>
      <c r="E14" s="78" t="s">
        <v>191</v>
      </c>
      <c r="F14" s="80" t="s">
        <v>90</v>
      </c>
      <c r="G14" s="80" t="s">
        <v>45</v>
      </c>
      <c r="H14" s="81">
        <v>244460</v>
      </c>
      <c r="I14" s="78" t="s">
        <v>192</v>
      </c>
      <c r="J14" s="82" t="s">
        <v>68</v>
      </c>
      <c r="K14" s="83">
        <v>244460</v>
      </c>
    </row>
    <row r="15" spans="1:11">
      <c r="A15" s="77">
        <v>12</v>
      </c>
      <c r="B15" s="78" t="s">
        <v>188</v>
      </c>
      <c r="C15" s="78" t="s">
        <v>54</v>
      </c>
      <c r="D15" s="78" t="s">
        <v>175</v>
      </c>
      <c r="E15" s="78" t="s">
        <v>193</v>
      </c>
      <c r="F15" s="80">
        <v>4</v>
      </c>
      <c r="G15" s="80" t="s">
        <v>48</v>
      </c>
      <c r="H15" s="81">
        <v>244460</v>
      </c>
      <c r="I15" s="78" t="s">
        <v>194</v>
      </c>
      <c r="J15" s="82" t="s">
        <v>68</v>
      </c>
      <c r="K15" s="83">
        <v>244460</v>
      </c>
    </row>
    <row r="16" spans="1:11">
      <c r="A16" s="77">
        <v>13</v>
      </c>
      <c r="B16" s="78" t="s">
        <v>89</v>
      </c>
      <c r="C16" s="78" t="s">
        <v>54</v>
      </c>
      <c r="D16" s="78" t="s">
        <v>173</v>
      </c>
      <c r="E16" s="78" t="s">
        <v>91</v>
      </c>
      <c r="F16" s="80" t="s">
        <v>90</v>
      </c>
      <c r="G16" s="80" t="s">
        <v>52</v>
      </c>
      <c r="H16" s="81">
        <v>244460</v>
      </c>
      <c r="I16" s="78" t="s">
        <v>195</v>
      </c>
      <c r="J16" s="84" t="s">
        <v>70</v>
      </c>
      <c r="K16" s="83"/>
    </row>
    <row r="17" spans="1:19">
      <c r="A17" s="77">
        <v>14</v>
      </c>
      <c r="B17" s="78" t="s">
        <v>196</v>
      </c>
      <c r="C17" s="78" t="s">
        <v>54</v>
      </c>
      <c r="D17" s="78" t="s">
        <v>173</v>
      </c>
      <c r="E17" s="78" t="s">
        <v>197</v>
      </c>
      <c r="F17" s="80" t="s">
        <v>90</v>
      </c>
      <c r="G17" s="80" t="s">
        <v>52</v>
      </c>
      <c r="H17" s="81">
        <v>244464</v>
      </c>
      <c r="I17" s="78" t="s">
        <v>198</v>
      </c>
      <c r="J17" s="84" t="s">
        <v>68</v>
      </c>
      <c r="K17" s="83"/>
    </row>
    <row r="18" spans="1:19">
      <c r="A18" s="77">
        <v>15</v>
      </c>
      <c r="B18" s="78" t="s">
        <v>199</v>
      </c>
      <c r="C18" s="78" t="s">
        <v>54</v>
      </c>
      <c r="D18" s="78" t="s">
        <v>175</v>
      </c>
      <c r="E18" s="78" t="s">
        <v>200</v>
      </c>
      <c r="F18" s="80">
        <v>8</v>
      </c>
      <c r="G18" s="80" t="s">
        <v>49</v>
      </c>
      <c r="H18" s="81">
        <v>244455</v>
      </c>
      <c r="I18" s="78" t="s">
        <v>134</v>
      </c>
      <c r="J18" s="82" t="s">
        <v>68</v>
      </c>
      <c r="K18" s="83">
        <v>244465</v>
      </c>
    </row>
    <row r="19" spans="1:19">
      <c r="A19" s="86">
        <v>16</v>
      </c>
      <c r="B19" s="87" t="s">
        <v>56</v>
      </c>
      <c r="C19" s="78" t="s">
        <v>56</v>
      </c>
      <c r="D19" s="87" t="s">
        <v>175</v>
      </c>
      <c r="E19" s="87" t="s">
        <v>201</v>
      </c>
      <c r="F19" s="80" t="s">
        <v>90</v>
      </c>
      <c r="G19" s="80" t="s">
        <v>45</v>
      </c>
      <c r="H19" s="88">
        <v>244466</v>
      </c>
      <c r="I19" s="87" t="s">
        <v>134</v>
      </c>
      <c r="J19" s="82" t="s">
        <v>68</v>
      </c>
      <c r="K19" s="89">
        <v>244467</v>
      </c>
    </row>
    <row r="20" spans="1:19">
      <c r="A20" s="86">
        <v>17</v>
      </c>
      <c r="B20" s="87" t="s">
        <v>92</v>
      </c>
      <c r="C20" s="78" t="s">
        <v>54</v>
      </c>
      <c r="D20" s="87" t="s">
        <v>173</v>
      </c>
      <c r="E20" s="87" t="s">
        <v>93</v>
      </c>
      <c r="F20" s="80">
        <v>4</v>
      </c>
      <c r="G20" s="80" t="s">
        <v>52</v>
      </c>
      <c r="H20" s="88">
        <v>244467</v>
      </c>
      <c r="I20" s="87" t="s">
        <v>202</v>
      </c>
      <c r="J20" s="84" t="s">
        <v>68</v>
      </c>
      <c r="K20" s="89">
        <v>244473</v>
      </c>
    </row>
    <row r="21" spans="1:19">
      <c r="A21" s="86">
        <v>18</v>
      </c>
      <c r="B21" s="87" t="s">
        <v>94</v>
      </c>
      <c r="C21" s="78" t="s">
        <v>54</v>
      </c>
      <c r="D21" s="87" t="s">
        <v>175</v>
      </c>
      <c r="E21" s="87" t="s">
        <v>203</v>
      </c>
      <c r="F21" s="80">
        <v>2</v>
      </c>
      <c r="G21" s="80" t="s">
        <v>52</v>
      </c>
      <c r="H21" s="88">
        <v>244468</v>
      </c>
      <c r="I21" s="87" t="s">
        <v>204</v>
      </c>
      <c r="J21" s="84" t="s">
        <v>68</v>
      </c>
      <c r="K21" s="89"/>
    </row>
    <row r="22" spans="1:19">
      <c r="A22" s="86">
        <v>19</v>
      </c>
      <c r="B22" s="87" t="s">
        <v>205</v>
      </c>
      <c r="C22" s="78" t="s">
        <v>54</v>
      </c>
      <c r="D22" s="87" t="s">
        <v>173</v>
      </c>
      <c r="E22" s="87" t="s">
        <v>206</v>
      </c>
      <c r="F22" s="80" t="s">
        <v>90</v>
      </c>
      <c r="G22" s="80" t="s">
        <v>52</v>
      </c>
      <c r="H22" s="88">
        <v>244465</v>
      </c>
      <c r="I22" s="87" t="s">
        <v>207</v>
      </c>
      <c r="J22" s="84" t="s">
        <v>68</v>
      </c>
      <c r="K22" s="89"/>
    </row>
    <row r="23" spans="1:19">
      <c r="A23" s="86">
        <v>20</v>
      </c>
      <c r="B23" s="87" t="s">
        <v>208</v>
      </c>
      <c r="C23" s="78" t="s">
        <v>55</v>
      </c>
      <c r="D23" s="87" t="s">
        <v>173</v>
      </c>
      <c r="E23" s="87" t="s">
        <v>209</v>
      </c>
      <c r="F23" s="80">
        <v>10</v>
      </c>
      <c r="G23" s="80" t="s">
        <v>52</v>
      </c>
      <c r="H23" s="88">
        <v>244464</v>
      </c>
      <c r="I23" s="87" t="s">
        <v>210</v>
      </c>
      <c r="J23" s="82" t="s">
        <v>68</v>
      </c>
      <c r="K23" s="89">
        <v>244466</v>
      </c>
    </row>
    <row r="24" spans="1:19">
      <c r="A24" s="86">
        <v>21</v>
      </c>
      <c r="B24" s="87" t="s">
        <v>56</v>
      </c>
      <c r="C24" s="78" t="s">
        <v>56</v>
      </c>
      <c r="D24" s="87" t="s">
        <v>175</v>
      </c>
      <c r="E24" s="87" t="s">
        <v>211</v>
      </c>
      <c r="F24" s="80" t="s">
        <v>90</v>
      </c>
      <c r="G24" s="80" t="s">
        <v>52</v>
      </c>
      <c r="H24" s="88">
        <v>244466</v>
      </c>
      <c r="I24" s="87" t="s">
        <v>212</v>
      </c>
      <c r="J24" s="82" t="s">
        <v>68</v>
      </c>
      <c r="K24" s="89">
        <v>244466</v>
      </c>
    </row>
    <row r="25" spans="1:19">
      <c r="A25" s="90">
        <v>22</v>
      </c>
      <c r="B25" s="91" t="s">
        <v>94</v>
      </c>
      <c r="C25" s="92" t="s">
        <v>54</v>
      </c>
      <c r="D25" s="91" t="s">
        <v>173</v>
      </c>
      <c r="E25" s="91" t="s">
        <v>213</v>
      </c>
      <c r="F25" s="93">
        <v>5</v>
      </c>
      <c r="G25" s="93" t="s">
        <v>52</v>
      </c>
      <c r="H25" s="94">
        <v>244466</v>
      </c>
      <c r="I25" s="91" t="s">
        <v>95</v>
      </c>
      <c r="J25" s="84" t="s">
        <v>70</v>
      </c>
      <c r="K25" s="95"/>
    </row>
    <row r="26" spans="1:19" ht="30" customHeight="1">
      <c r="A26" s="320"/>
      <c r="B26" s="321" t="s">
        <v>165</v>
      </c>
      <c r="C26" s="322"/>
      <c r="D26" s="322"/>
      <c r="E26" s="322"/>
      <c r="F26" s="322"/>
      <c r="G26" s="322"/>
      <c r="H26" s="322"/>
      <c r="I26" s="322"/>
      <c r="J26" s="322"/>
      <c r="K26" s="322"/>
      <c r="L26" s="322"/>
      <c r="M26" s="194"/>
    </row>
    <row r="27" spans="1:19" ht="30" customHeight="1">
      <c r="A27" s="326"/>
      <c r="B27" s="321" t="s">
        <v>214</v>
      </c>
      <c r="C27" s="322"/>
      <c r="D27" s="322"/>
      <c r="E27" s="322"/>
      <c r="F27" s="322"/>
      <c r="G27" s="322"/>
      <c r="H27" s="322"/>
      <c r="I27" s="322"/>
      <c r="J27" s="322"/>
      <c r="K27" s="322"/>
      <c r="L27" s="322"/>
      <c r="M27" s="194"/>
    </row>
    <row r="28" spans="1:19" s="66" customFormat="1" ht="25.05" customHeight="1">
      <c r="A28" s="96" t="s">
        <v>75</v>
      </c>
      <c r="B28" s="97" t="s">
        <v>215</v>
      </c>
      <c r="C28" s="97" t="s">
        <v>76</v>
      </c>
      <c r="D28" s="97" t="s">
        <v>169</v>
      </c>
      <c r="E28" s="73" t="s">
        <v>170</v>
      </c>
      <c r="F28" s="73" t="s">
        <v>77</v>
      </c>
      <c r="G28" s="73" t="s">
        <v>74</v>
      </c>
      <c r="H28" s="98" t="s">
        <v>171</v>
      </c>
      <c r="I28" s="73" t="s">
        <v>110</v>
      </c>
      <c r="J28" s="99" t="s">
        <v>172</v>
      </c>
      <c r="K28" s="98" t="s">
        <v>111</v>
      </c>
      <c r="L28" s="100" t="s">
        <v>39</v>
      </c>
      <c r="M28" s="196"/>
    </row>
    <row r="29" spans="1:19">
      <c r="A29" s="77">
        <v>1</v>
      </c>
      <c r="B29" s="78" t="s">
        <v>96</v>
      </c>
      <c r="C29" s="78" t="s">
        <v>54</v>
      </c>
      <c r="D29" s="79" t="s">
        <v>173</v>
      </c>
      <c r="E29" s="78" t="s">
        <v>97</v>
      </c>
      <c r="F29" s="80" t="s">
        <v>90</v>
      </c>
      <c r="G29" s="80" t="s">
        <v>47</v>
      </c>
      <c r="H29" s="101">
        <v>244470</v>
      </c>
      <c r="I29" s="78"/>
      <c r="J29" s="84" t="s">
        <v>70</v>
      </c>
      <c r="K29" s="101"/>
      <c r="L29" s="102"/>
      <c r="M29" s="103"/>
      <c r="O29" s="327" t="s">
        <v>216</v>
      </c>
      <c r="P29" s="327"/>
      <c r="Q29" s="327"/>
      <c r="R29" s="327"/>
      <c r="S29" s="327"/>
    </row>
    <row r="30" spans="1:19">
      <c r="A30" s="77">
        <v>2</v>
      </c>
      <c r="B30" s="78" t="s">
        <v>96</v>
      </c>
      <c r="C30" s="78" t="s">
        <v>54</v>
      </c>
      <c r="D30" s="79" t="s">
        <v>173</v>
      </c>
      <c r="E30" s="78" t="s">
        <v>217</v>
      </c>
      <c r="F30" s="80" t="s">
        <v>90</v>
      </c>
      <c r="G30" s="80" t="s">
        <v>52</v>
      </c>
      <c r="H30" s="101">
        <v>244470</v>
      </c>
      <c r="I30" s="78"/>
      <c r="J30" s="82" t="s">
        <v>68</v>
      </c>
      <c r="K30" s="101"/>
      <c r="L30" s="102">
        <v>3</v>
      </c>
      <c r="M30" s="103"/>
      <c r="O30" s="67" t="s">
        <v>76</v>
      </c>
      <c r="P30" s="67" t="s">
        <v>218</v>
      </c>
      <c r="Q30" s="104"/>
    </row>
    <row r="31" spans="1:19">
      <c r="A31" s="77">
        <v>3</v>
      </c>
      <c r="B31" s="78" t="s">
        <v>94</v>
      </c>
      <c r="C31" s="78" t="s">
        <v>54</v>
      </c>
      <c r="D31" s="79" t="s">
        <v>173</v>
      </c>
      <c r="E31" s="78" t="s">
        <v>98</v>
      </c>
      <c r="F31" s="80">
        <v>3</v>
      </c>
      <c r="G31" s="80" t="s">
        <v>45</v>
      </c>
      <c r="H31" s="101">
        <v>244473</v>
      </c>
      <c r="I31" s="78"/>
      <c r="J31" s="84" t="s">
        <v>70</v>
      </c>
      <c r="K31" s="101"/>
      <c r="L31" s="102"/>
      <c r="M31" s="103"/>
      <c r="O31" s="67" t="s">
        <v>54</v>
      </c>
      <c r="P31" s="67">
        <f>COUNTIF(C29:C38,"อาคาร/รีเซป")</f>
        <v>10</v>
      </c>
      <c r="Q31" s="105">
        <f>P31/P34</f>
        <v>1</v>
      </c>
      <c r="R31" s="105"/>
    </row>
    <row r="32" spans="1:19">
      <c r="A32" s="77">
        <v>4</v>
      </c>
      <c r="B32" s="78" t="s">
        <v>94</v>
      </c>
      <c r="C32" s="78" t="s">
        <v>54</v>
      </c>
      <c r="D32" s="79" t="s">
        <v>173</v>
      </c>
      <c r="E32" s="78" t="s">
        <v>219</v>
      </c>
      <c r="F32" s="80">
        <v>5</v>
      </c>
      <c r="G32" s="80" t="s">
        <v>45</v>
      </c>
      <c r="H32" s="101">
        <v>244475</v>
      </c>
      <c r="I32" s="78"/>
      <c r="J32" s="82" t="s">
        <v>68</v>
      </c>
      <c r="K32" s="101">
        <v>244492</v>
      </c>
      <c r="L32" s="102">
        <v>4</v>
      </c>
      <c r="M32" s="103"/>
      <c r="Q32" s="105"/>
      <c r="R32" s="105"/>
    </row>
    <row r="33" spans="1:18">
      <c r="A33" s="77">
        <v>5</v>
      </c>
      <c r="B33" s="78" t="s">
        <v>220</v>
      </c>
      <c r="C33" s="78" t="s">
        <v>54</v>
      </c>
      <c r="D33" s="79" t="s">
        <v>173</v>
      </c>
      <c r="E33" s="78" t="s">
        <v>221</v>
      </c>
      <c r="F33" s="80" t="s">
        <v>90</v>
      </c>
      <c r="G33" s="80" t="s">
        <v>52</v>
      </c>
      <c r="H33" s="101">
        <v>244475</v>
      </c>
      <c r="I33" s="78"/>
      <c r="J33" s="82" t="s">
        <v>68</v>
      </c>
      <c r="K33" s="101">
        <v>244476</v>
      </c>
      <c r="L33" s="102">
        <v>1</v>
      </c>
      <c r="M33" s="103"/>
      <c r="O33" s="67" t="s">
        <v>55</v>
      </c>
      <c r="P33" s="67">
        <v>0</v>
      </c>
      <c r="Q33" s="105">
        <f>P33/P34</f>
        <v>0</v>
      </c>
      <c r="R33" s="105"/>
    </row>
    <row r="34" spans="1:18">
      <c r="A34" s="77">
        <v>6</v>
      </c>
      <c r="B34" s="78" t="s">
        <v>94</v>
      </c>
      <c r="C34" s="78" t="s">
        <v>54</v>
      </c>
      <c r="D34" s="79" t="s">
        <v>173</v>
      </c>
      <c r="E34" s="78" t="s">
        <v>222</v>
      </c>
      <c r="F34" s="80">
        <v>11</v>
      </c>
      <c r="G34" s="80" t="s">
        <v>46</v>
      </c>
      <c r="H34" s="101">
        <v>244475</v>
      </c>
      <c r="I34" s="78" t="s">
        <v>148</v>
      </c>
      <c r="J34" s="82" t="s">
        <v>68</v>
      </c>
      <c r="K34" s="101">
        <v>244476</v>
      </c>
      <c r="L34" s="102">
        <v>1</v>
      </c>
      <c r="M34" s="103"/>
      <c r="O34" s="67" t="s">
        <v>34</v>
      </c>
      <c r="P34" s="104">
        <f>SUM(P31:P33)</f>
        <v>10</v>
      </c>
      <c r="Q34" s="105">
        <f ca="1">SUM(O34:P34)/SUM($P$34:$Q$34)</f>
        <v>1</v>
      </c>
      <c r="R34" s="105"/>
    </row>
    <row r="35" spans="1:18">
      <c r="A35" s="77">
        <v>7</v>
      </c>
      <c r="B35" s="78" t="s">
        <v>223</v>
      </c>
      <c r="C35" s="78" t="s">
        <v>54</v>
      </c>
      <c r="D35" s="79" t="s">
        <v>173</v>
      </c>
      <c r="E35" s="78" t="s">
        <v>224</v>
      </c>
      <c r="F35" s="80" t="s">
        <v>90</v>
      </c>
      <c r="G35" s="80" t="s">
        <v>52</v>
      </c>
      <c r="H35" s="101">
        <v>244476</v>
      </c>
      <c r="I35" s="78"/>
      <c r="J35" s="82" t="s">
        <v>68</v>
      </c>
      <c r="K35" s="101">
        <v>244476</v>
      </c>
      <c r="L35" s="102">
        <v>1</v>
      </c>
      <c r="M35" s="103"/>
      <c r="O35" s="104"/>
      <c r="P35" s="105"/>
    </row>
    <row r="36" spans="1:18">
      <c r="A36" s="77">
        <v>8</v>
      </c>
      <c r="B36" s="87" t="s">
        <v>205</v>
      </c>
      <c r="C36" s="78" t="s">
        <v>54</v>
      </c>
      <c r="D36" s="79" t="s">
        <v>173</v>
      </c>
      <c r="E36" s="87" t="s">
        <v>206</v>
      </c>
      <c r="F36" s="80" t="s">
        <v>90</v>
      </c>
      <c r="G36" s="80" t="s">
        <v>52</v>
      </c>
      <c r="H36" s="106">
        <v>244465</v>
      </c>
      <c r="I36" s="87" t="s">
        <v>207</v>
      </c>
      <c r="J36" s="82" t="s">
        <v>68</v>
      </c>
      <c r="K36" s="101">
        <v>244477</v>
      </c>
      <c r="L36" s="102">
        <v>2</v>
      </c>
      <c r="M36" s="103"/>
    </row>
    <row r="37" spans="1:18">
      <c r="A37" s="77">
        <v>9</v>
      </c>
      <c r="B37" s="78" t="s">
        <v>94</v>
      </c>
      <c r="C37" s="78" t="s">
        <v>54</v>
      </c>
      <c r="D37" s="79" t="s">
        <v>173</v>
      </c>
      <c r="E37" s="78" t="s">
        <v>99</v>
      </c>
      <c r="F37" s="80">
        <v>5</v>
      </c>
      <c r="G37" s="80" t="s">
        <v>48</v>
      </c>
      <c r="H37" s="101">
        <v>244479</v>
      </c>
      <c r="I37" s="78" t="s">
        <v>152</v>
      </c>
      <c r="J37" s="84" t="s">
        <v>70</v>
      </c>
      <c r="K37" s="101"/>
      <c r="L37" s="102"/>
      <c r="M37" s="103"/>
    </row>
    <row r="38" spans="1:18">
      <c r="A38" s="77">
        <v>10</v>
      </c>
      <c r="B38" s="78" t="s">
        <v>94</v>
      </c>
      <c r="C38" s="78" t="s">
        <v>54</v>
      </c>
      <c r="D38" s="79" t="s">
        <v>173</v>
      </c>
      <c r="E38" s="78" t="s">
        <v>100</v>
      </c>
      <c r="F38" s="80">
        <v>14</v>
      </c>
      <c r="G38" s="80" t="s">
        <v>52</v>
      </c>
      <c r="H38" s="101">
        <v>244479</v>
      </c>
      <c r="I38" s="78" t="s">
        <v>225</v>
      </c>
      <c r="J38" s="84" t="s">
        <v>68</v>
      </c>
      <c r="K38" s="101">
        <v>244473</v>
      </c>
      <c r="L38" s="102">
        <v>2</v>
      </c>
      <c r="M38" s="103"/>
    </row>
    <row r="39" spans="1:18">
      <c r="A39" s="77">
        <v>11</v>
      </c>
      <c r="B39" s="107" t="s">
        <v>226</v>
      </c>
      <c r="C39" s="78" t="s">
        <v>56</v>
      </c>
      <c r="D39" s="79" t="s">
        <v>175</v>
      </c>
      <c r="E39" s="107" t="s">
        <v>227</v>
      </c>
      <c r="F39" s="80">
        <v>12</v>
      </c>
      <c r="G39" s="80" t="s">
        <v>50</v>
      </c>
      <c r="H39" s="108">
        <v>244475</v>
      </c>
      <c r="I39" s="107"/>
      <c r="J39" s="84" t="s">
        <v>68</v>
      </c>
      <c r="K39" s="108" t="s">
        <v>163</v>
      </c>
      <c r="L39" s="102">
        <v>2</v>
      </c>
      <c r="M39" s="103"/>
    </row>
    <row r="40" spans="1:18">
      <c r="A40" s="77">
        <v>12</v>
      </c>
      <c r="B40" s="107" t="s">
        <v>226</v>
      </c>
      <c r="C40" s="78" t="s">
        <v>56</v>
      </c>
      <c r="D40" s="79" t="s">
        <v>175</v>
      </c>
      <c r="E40" s="107" t="s">
        <v>222</v>
      </c>
      <c r="F40" s="80">
        <v>12</v>
      </c>
      <c r="G40" s="80" t="s">
        <v>46</v>
      </c>
      <c r="H40" s="108">
        <v>244477</v>
      </c>
      <c r="I40" s="107" t="s">
        <v>148</v>
      </c>
      <c r="J40" s="109" t="s">
        <v>68</v>
      </c>
      <c r="K40" s="108">
        <v>244477</v>
      </c>
      <c r="L40" s="102">
        <v>2</v>
      </c>
      <c r="M40" s="103"/>
    </row>
    <row r="41" spans="1:18">
      <c r="A41" s="77">
        <v>13</v>
      </c>
      <c r="B41" s="110" t="s">
        <v>94</v>
      </c>
      <c r="C41" s="78" t="s">
        <v>54</v>
      </c>
      <c r="D41" s="79" t="s">
        <v>173</v>
      </c>
      <c r="E41" s="110" t="s">
        <v>228</v>
      </c>
      <c r="F41" s="80">
        <v>15</v>
      </c>
      <c r="G41" s="80" t="s">
        <v>52</v>
      </c>
      <c r="H41" s="111">
        <v>244480</v>
      </c>
      <c r="I41" s="110"/>
      <c r="J41" s="109" t="s">
        <v>68</v>
      </c>
      <c r="K41" s="111">
        <v>244480</v>
      </c>
      <c r="L41" s="102">
        <v>2</v>
      </c>
      <c r="M41" s="103"/>
    </row>
    <row r="42" spans="1:18">
      <c r="A42" s="77">
        <v>14</v>
      </c>
      <c r="B42" s="110" t="s">
        <v>229</v>
      </c>
      <c r="C42" s="78" t="s">
        <v>54</v>
      </c>
      <c r="D42" s="79" t="s">
        <v>173</v>
      </c>
      <c r="E42" s="110" t="s">
        <v>230</v>
      </c>
      <c r="F42" s="80" t="s">
        <v>90</v>
      </c>
      <c r="G42" s="80" t="s">
        <v>45</v>
      </c>
      <c r="H42" s="111">
        <v>244480</v>
      </c>
      <c r="I42" s="110"/>
      <c r="J42" s="109" t="s">
        <v>68</v>
      </c>
      <c r="K42" s="111">
        <v>244480</v>
      </c>
      <c r="L42" s="102">
        <v>2</v>
      </c>
      <c r="M42" s="103"/>
    </row>
    <row r="43" spans="1:18">
      <c r="A43" s="77">
        <v>15</v>
      </c>
      <c r="B43" s="110" t="s">
        <v>103</v>
      </c>
      <c r="C43" s="78" t="s">
        <v>54</v>
      </c>
      <c r="D43" s="79" t="s">
        <v>173</v>
      </c>
      <c r="E43" s="110" t="s">
        <v>231</v>
      </c>
      <c r="F43" s="80">
        <v>2</v>
      </c>
      <c r="G43" s="80" t="s">
        <v>45</v>
      </c>
      <c r="H43" s="111">
        <v>244481</v>
      </c>
      <c r="I43" s="110"/>
      <c r="J43" s="109" t="s">
        <v>68</v>
      </c>
      <c r="K43" s="111">
        <v>244481</v>
      </c>
      <c r="L43" s="102">
        <v>2</v>
      </c>
      <c r="M43" s="103"/>
    </row>
    <row r="44" spans="1:18">
      <c r="A44" s="77">
        <v>16</v>
      </c>
      <c r="B44" s="110" t="s">
        <v>232</v>
      </c>
      <c r="C44" s="78" t="s">
        <v>54</v>
      </c>
      <c r="D44" s="79" t="s">
        <v>173</v>
      </c>
      <c r="E44" s="110" t="s">
        <v>233</v>
      </c>
      <c r="F44" s="80">
        <v>11</v>
      </c>
      <c r="G44" s="80" t="s">
        <v>52</v>
      </c>
      <c r="H44" s="111">
        <v>244481</v>
      </c>
      <c r="I44" s="110"/>
      <c r="J44" s="109" t="s">
        <v>68</v>
      </c>
      <c r="K44" s="111">
        <v>244481</v>
      </c>
      <c r="L44" s="102">
        <v>2</v>
      </c>
      <c r="M44" s="103"/>
    </row>
    <row r="45" spans="1:18">
      <c r="A45" s="77">
        <v>17</v>
      </c>
      <c r="B45" s="110" t="s">
        <v>234</v>
      </c>
      <c r="C45" s="78" t="s">
        <v>54</v>
      </c>
      <c r="D45" s="79" t="s">
        <v>173</v>
      </c>
      <c r="E45" s="110" t="s">
        <v>235</v>
      </c>
      <c r="F45" s="80">
        <v>3</v>
      </c>
      <c r="G45" s="80" t="s">
        <v>45</v>
      </c>
      <c r="H45" s="111">
        <v>244481</v>
      </c>
      <c r="I45" s="110"/>
      <c r="J45" s="109" t="s">
        <v>68</v>
      </c>
      <c r="K45" s="111">
        <v>244481</v>
      </c>
      <c r="L45" s="102">
        <v>2</v>
      </c>
      <c r="M45" s="103"/>
    </row>
    <row r="46" spans="1:18">
      <c r="A46" s="77">
        <v>18</v>
      </c>
      <c r="B46" s="110" t="s">
        <v>55</v>
      </c>
      <c r="C46" s="78" t="s">
        <v>55</v>
      </c>
      <c r="D46" s="79" t="s">
        <v>236</v>
      </c>
      <c r="E46" s="110" t="s">
        <v>237</v>
      </c>
      <c r="F46" s="80">
        <v>12</v>
      </c>
      <c r="G46" s="80" t="s">
        <v>45</v>
      </c>
      <c r="H46" s="111">
        <v>244482</v>
      </c>
      <c r="I46" s="110"/>
      <c r="J46" s="109" t="s">
        <v>68</v>
      </c>
      <c r="K46" s="111">
        <v>244482</v>
      </c>
      <c r="L46" s="102">
        <v>2</v>
      </c>
      <c r="M46" s="103"/>
    </row>
    <row r="47" spans="1:18">
      <c r="A47" s="77">
        <v>19</v>
      </c>
      <c r="B47" s="110" t="s">
        <v>238</v>
      </c>
      <c r="C47" s="78" t="s">
        <v>54</v>
      </c>
      <c r="D47" s="79" t="s">
        <v>175</v>
      </c>
      <c r="E47" s="110" t="s">
        <v>239</v>
      </c>
      <c r="F47" s="80">
        <v>12</v>
      </c>
      <c r="G47" s="80" t="s">
        <v>46</v>
      </c>
      <c r="H47" s="111">
        <v>244482</v>
      </c>
      <c r="I47" s="110"/>
      <c r="J47" s="109" t="s">
        <v>68</v>
      </c>
      <c r="K47" s="111">
        <v>244482</v>
      </c>
      <c r="L47" s="102">
        <v>2</v>
      </c>
      <c r="M47" s="103"/>
    </row>
    <row r="48" spans="1:18">
      <c r="A48" s="77">
        <v>20</v>
      </c>
      <c r="B48" s="110" t="s">
        <v>103</v>
      </c>
      <c r="C48" s="78" t="s">
        <v>54</v>
      </c>
      <c r="D48" s="79" t="s">
        <v>175</v>
      </c>
      <c r="E48" s="110" t="s">
        <v>240</v>
      </c>
      <c r="F48" s="80">
        <v>15</v>
      </c>
      <c r="G48" s="80" t="s">
        <v>52</v>
      </c>
      <c r="H48" s="111">
        <v>244482</v>
      </c>
      <c r="I48" s="110"/>
      <c r="J48" s="109" t="s">
        <v>68</v>
      </c>
      <c r="K48" s="111">
        <v>244482</v>
      </c>
      <c r="L48" s="102">
        <v>2</v>
      </c>
      <c r="M48" s="103"/>
    </row>
    <row r="49" spans="1:13">
      <c r="A49" s="77">
        <v>21</v>
      </c>
      <c r="B49" s="110" t="s">
        <v>229</v>
      </c>
      <c r="C49" s="78" t="s">
        <v>54</v>
      </c>
      <c r="D49" s="79" t="s">
        <v>173</v>
      </c>
      <c r="E49" s="110" t="s">
        <v>241</v>
      </c>
      <c r="F49" s="80">
        <v>10</v>
      </c>
      <c r="G49" s="80" t="s">
        <v>52</v>
      </c>
      <c r="H49" s="111">
        <v>244482</v>
      </c>
      <c r="I49" s="110"/>
      <c r="J49" s="109" t="s">
        <v>68</v>
      </c>
      <c r="K49" s="111">
        <v>244482</v>
      </c>
      <c r="L49" s="102">
        <v>2</v>
      </c>
      <c r="M49" s="103"/>
    </row>
    <row r="50" spans="1:13">
      <c r="A50" s="77">
        <v>22</v>
      </c>
      <c r="B50" s="110" t="s">
        <v>56</v>
      </c>
      <c r="C50" s="78" t="s">
        <v>54</v>
      </c>
      <c r="D50" s="79" t="s">
        <v>175</v>
      </c>
      <c r="E50" s="110" t="s">
        <v>242</v>
      </c>
      <c r="F50" s="80">
        <v>7</v>
      </c>
      <c r="G50" s="80" t="s">
        <v>51</v>
      </c>
      <c r="H50" s="111">
        <v>244483</v>
      </c>
      <c r="I50" s="110"/>
      <c r="J50" s="109" t="s">
        <v>68</v>
      </c>
      <c r="K50" s="111">
        <v>244483</v>
      </c>
      <c r="L50" s="102">
        <v>2</v>
      </c>
      <c r="M50" s="103"/>
    </row>
    <row r="51" spans="1:13">
      <c r="A51" s="77">
        <v>23</v>
      </c>
      <c r="B51" s="110" t="s">
        <v>229</v>
      </c>
      <c r="C51" s="78" t="s">
        <v>54</v>
      </c>
      <c r="D51" s="79" t="s">
        <v>173</v>
      </c>
      <c r="E51" s="110" t="s">
        <v>243</v>
      </c>
      <c r="F51" s="80">
        <v>14</v>
      </c>
      <c r="G51" s="80" t="s">
        <v>52</v>
      </c>
      <c r="H51" s="111">
        <v>244483</v>
      </c>
      <c r="I51" s="110"/>
      <c r="J51" s="109" t="s">
        <v>68</v>
      </c>
      <c r="K51" s="111">
        <v>244483</v>
      </c>
      <c r="L51" s="102">
        <v>2</v>
      </c>
      <c r="M51" s="103"/>
    </row>
    <row r="52" spans="1:13">
      <c r="A52" s="77">
        <v>24</v>
      </c>
      <c r="B52" s="110" t="s">
        <v>244</v>
      </c>
      <c r="C52" s="78" t="s">
        <v>54</v>
      </c>
      <c r="D52" s="79" t="s">
        <v>173</v>
      </c>
      <c r="E52" s="110" t="s">
        <v>245</v>
      </c>
      <c r="F52" s="80">
        <v>14</v>
      </c>
      <c r="G52" s="80" t="s">
        <v>49</v>
      </c>
      <c r="H52" s="111">
        <v>244484</v>
      </c>
      <c r="I52" s="110"/>
      <c r="J52" s="109" t="s">
        <v>68</v>
      </c>
      <c r="K52" s="111">
        <v>244484</v>
      </c>
      <c r="L52" s="102">
        <v>3</v>
      </c>
      <c r="M52" s="103"/>
    </row>
    <row r="53" spans="1:13">
      <c r="A53" s="77">
        <v>25</v>
      </c>
      <c r="B53" s="110" t="s">
        <v>101</v>
      </c>
      <c r="C53" s="78" t="s">
        <v>54</v>
      </c>
      <c r="D53" s="79" t="s">
        <v>173</v>
      </c>
      <c r="E53" s="110" t="s">
        <v>102</v>
      </c>
      <c r="F53" s="80">
        <v>15</v>
      </c>
      <c r="G53" s="80" t="s">
        <v>45</v>
      </c>
      <c r="H53" s="111">
        <v>244480</v>
      </c>
      <c r="I53" s="110"/>
      <c r="J53" s="84" t="s">
        <v>70</v>
      </c>
      <c r="K53" s="111"/>
      <c r="L53" s="102"/>
      <c r="M53" s="103"/>
    </row>
    <row r="54" spans="1:13">
      <c r="A54" s="77">
        <v>26</v>
      </c>
      <c r="B54" s="110" t="s">
        <v>234</v>
      </c>
      <c r="C54" s="78" t="s">
        <v>54</v>
      </c>
      <c r="D54" s="79" t="s">
        <v>175</v>
      </c>
      <c r="E54" s="110" t="s">
        <v>246</v>
      </c>
      <c r="F54" s="80" t="s">
        <v>107</v>
      </c>
      <c r="G54" s="80" t="s">
        <v>52</v>
      </c>
      <c r="H54" s="111">
        <v>244484</v>
      </c>
      <c r="I54" s="110"/>
      <c r="J54" s="109" t="s">
        <v>68</v>
      </c>
      <c r="K54" s="111">
        <v>244484</v>
      </c>
      <c r="L54" s="102">
        <v>3</v>
      </c>
      <c r="M54" s="103"/>
    </row>
    <row r="55" spans="1:13">
      <c r="A55" s="77">
        <v>27</v>
      </c>
      <c r="B55" s="110" t="s">
        <v>105</v>
      </c>
      <c r="C55" s="78" t="s">
        <v>54</v>
      </c>
      <c r="D55" s="79" t="s">
        <v>173</v>
      </c>
      <c r="E55" s="110" t="s">
        <v>247</v>
      </c>
      <c r="F55" s="80">
        <v>9</v>
      </c>
      <c r="G55" s="80" t="s">
        <v>48</v>
      </c>
      <c r="H55" s="111">
        <v>244474</v>
      </c>
      <c r="I55" s="110"/>
      <c r="J55" s="109" t="s">
        <v>68</v>
      </c>
      <c r="K55" s="111">
        <v>244485</v>
      </c>
      <c r="L55" s="102">
        <v>3</v>
      </c>
      <c r="M55" s="103"/>
    </row>
    <row r="56" spans="1:13">
      <c r="A56" s="77">
        <v>28</v>
      </c>
      <c r="B56" s="110" t="s">
        <v>103</v>
      </c>
      <c r="C56" s="78" t="s">
        <v>54</v>
      </c>
      <c r="D56" s="79" t="s">
        <v>175</v>
      </c>
      <c r="E56" s="110" t="s">
        <v>248</v>
      </c>
      <c r="F56" s="80" t="s">
        <v>90</v>
      </c>
      <c r="G56" s="80" t="s">
        <v>52</v>
      </c>
      <c r="H56" s="111">
        <v>244486</v>
      </c>
      <c r="I56" s="110"/>
      <c r="J56" s="109" t="s">
        <v>68</v>
      </c>
      <c r="K56" s="111">
        <v>244486</v>
      </c>
      <c r="L56" s="102">
        <v>3</v>
      </c>
      <c r="M56" s="103"/>
    </row>
    <row r="57" spans="1:13">
      <c r="A57" s="77">
        <v>29</v>
      </c>
      <c r="B57" s="110" t="s">
        <v>103</v>
      </c>
      <c r="C57" s="78" t="s">
        <v>54</v>
      </c>
      <c r="D57" s="79" t="s">
        <v>175</v>
      </c>
      <c r="E57" s="110" t="s">
        <v>104</v>
      </c>
      <c r="F57" s="80">
        <v>10</v>
      </c>
      <c r="G57" s="80" t="s">
        <v>52</v>
      </c>
      <c r="H57" s="111">
        <v>244488</v>
      </c>
      <c r="I57" s="110"/>
      <c r="J57" s="84" t="s">
        <v>70</v>
      </c>
      <c r="K57" s="111"/>
      <c r="L57" s="102"/>
      <c r="M57" s="103"/>
    </row>
    <row r="58" spans="1:13">
      <c r="A58" s="77">
        <v>30</v>
      </c>
      <c r="B58" s="110" t="s">
        <v>105</v>
      </c>
      <c r="C58" s="78" t="s">
        <v>54</v>
      </c>
      <c r="D58" s="79" t="s">
        <v>173</v>
      </c>
      <c r="E58" s="110" t="s">
        <v>106</v>
      </c>
      <c r="F58" s="80">
        <v>11</v>
      </c>
      <c r="G58" s="80" t="s">
        <v>51</v>
      </c>
      <c r="H58" s="111">
        <v>244489</v>
      </c>
      <c r="I58" s="110"/>
      <c r="J58" s="84" t="s">
        <v>70</v>
      </c>
      <c r="K58" s="111"/>
      <c r="L58" s="102"/>
      <c r="M58" s="103"/>
    </row>
    <row r="59" spans="1:13">
      <c r="A59" s="77">
        <v>31</v>
      </c>
      <c r="B59" s="110" t="s">
        <v>105</v>
      </c>
      <c r="C59" s="78" t="s">
        <v>54</v>
      </c>
      <c r="D59" s="79" t="s">
        <v>173</v>
      </c>
      <c r="E59" s="110" t="s">
        <v>249</v>
      </c>
      <c r="F59" s="80">
        <v>11</v>
      </c>
      <c r="G59" s="80" t="s">
        <v>52</v>
      </c>
      <c r="H59" s="111">
        <v>244489</v>
      </c>
      <c r="I59" s="110"/>
      <c r="J59" s="109" t="s">
        <v>68</v>
      </c>
      <c r="K59" s="111">
        <v>244493</v>
      </c>
      <c r="L59" s="102">
        <v>4</v>
      </c>
      <c r="M59" s="103"/>
    </row>
    <row r="60" spans="1:13">
      <c r="A60" s="77">
        <v>32</v>
      </c>
      <c r="B60" s="110" t="s">
        <v>229</v>
      </c>
      <c r="C60" s="78" t="s">
        <v>54</v>
      </c>
      <c r="D60" s="79" t="s">
        <v>173</v>
      </c>
      <c r="E60" s="110" t="s">
        <v>250</v>
      </c>
      <c r="F60" s="80" t="s">
        <v>90</v>
      </c>
      <c r="G60" s="80" t="s">
        <v>52</v>
      </c>
      <c r="H60" s="111">
        <v>244489</v>
      </c>
      <c r="I60" s="110"/>
      <c r="J60" s="109" t="s">
        <v>68</v>
      </c>
      <c r="K60" s="111">
        <v>244491</v>
      </c>
      <c r="L60" s="102">
        <v>4</v>
      </c>
      <c r="M60" s="103"/>
    </row>
    <row r="61" spans="1:13">
      <c r="A61" s="77">
        <v>33</v>
      </c>
      <c r="B61" s="110" t="s">
        <v>96</v>
      </c>
      <c r="C61" s="78" t="s">
        <v>54</v>
      </c>
      <c r="D61" s="79" t="s">
        <v>175</v>
      </c>
      <c r="E61" s="110" t="s">
        <v>108</v>
      </c>
      <c r="F61" s="80" t="s">
        <v>107</v>
      </c>
      <c r="G61" s="80" t="s">
        <v>52</v>
      </c>
      <c r="H61" s="111">
        <v>244489</v>
      </c>
      <c r="I61" s="110"/>
      <c r="J61" s="84" t="s">
        <v>70</v>
      </c>
      <c r="K61" s="111"/>
      <c r="L61" s="102"/>
      <c r="M61" s="103"/>
    </row>
    <row r="62" spans="1:13">
      <c r="A62" s="77">
        <v>34</v>
      </c>
      <c r="B62" s="110" t="s">
        <v>96</v>
      </c>
      <c r="C62" s="78" t="s">
        <v>54</v>
      </c>
      <c r="D62" s="79" t="s">
        <v>175</v>
      </c>
      <c r="E62" s="110" t="s">
        <v>251</v>
      </c>
      <c r="F62" s="80">
        <v>14</v>
      </c>
      <c r="G62" s="80" t="s">
        <v>52</v>
      </c>
      <c r="H62" s="111">
        <v>244489</v>
      </c>
      <c r="I62" s="110"/>
      <c r="J62" s="109" t="s">
        <v>68</v>
      </c>
      <c r="K62" s="111">
        <v>244492</v>
      </c>
      <c r="L62" s="102">
        <v>4</v>
      </c>
      <c r="M62" s="103"/>
    </row>
    <row r="63" spans="1:13">
      <c r="A63" s="77">
        <v>35</v>
      </c>
      <c r="B63" s="110" t="s">
        <v>96</v>
      </c>
      <c r="C63" s="78" t="s">
        <v>54</v>
      </c>
      <c r="D63" s="79" t="s">
        <v>175</v>
      </c>
      <c r="E63" s="110" t="s">
        <v>252</v>
      </c>
      <c r="F63" s="80">
        <v>14</v>
      </c>
      <c r="G63" s="80" t="s">
        <v>52</v>
      </c>
      <c r="H63" s="111">
        <v>244489</v>
      </c>
      <c r="I63" s="110"/>
      <c r="J63" s="109" t="s">
        <v>68</v>
      </c>
      <c r="K63" s="111">
        <v>244492</v>
      </c>
      <c r="L63" s="102">
        <v>4</v>
      </c>
      <c r="M63" s="103"/>
    </row>
    <row r="64" spans="1:13">
      <c r="A64" s="77">
        <v>36</v>
      </c>
      <c r="B64" s="110" t="s">
        <v>96</v>
      </c>
      <c r="C64" s="78" t="s">
        <v>54</v>
      </c>
      <c r="D64" s="79" t="s">
        <v>175</v>
      </c>
      <c r="E64" s="110" t="s">
        <v>253</v>
      </c>
      <c r="F64" s="80">
        <v>14</v>
      </c>
      <c r="G64" s="80" t="s">
        <v>53</v>
      </c>
      <c r="H64" s="111">
        <v>244489</v>
      </c>
      <c r="I64" s="110"/>
      <c r="J64" s="109" t="s">
        <v>68</v>
      </c>
      <c r="K64" s="111">
        <v>244492</v>
      </c>
      <c r="L64" s="112">
        <v>4</v>
      </c>
      <c r="M64" s="103"/>
    </row>
    <row r="65" spans="1:13">
      <c r="A65" s="77">
        <v>37</v>
      </c>
      <c r="B65" s="113" t="s">
        <v>254</v>
      </c>
      <c r="C65" s="78" t="s">
        <v>54</v>
      </c>
      <c r="D65" s="114" t="s">
        <v>175</v>
      </c>
      <c r="E65" s="113" t="s">
        <v>255</v>
      </c>
      <c r="F65" s="93" t="s">
        <v>90</v>
      </c>
      <c r="G65" s="93" t="s">
        <v>53</v>
      </c>
      <c r="H65" s="115">
        <v>244489</v>
      </c>
      <c r="I65" s="113"/>
      <c r="J65" s="84" t="s">
        <v>68</v>
      </c>
      <c r="K65" s="115">
        <v>244492</v>
      </c>
      <c r="L65" s="102">
        <v>4</v>
      </c>
      <c r="M65" s="103"/>
    </row>
    <row r="66" spans="1:13">
      <c r="A66" s="77">
        <v>38</v>
      </c>
      <c r="B66" s="110" t="s">
        <v>234</v>
      </c>
      <c r="C66" s="78" t="s">
        <v>54</v>
      </c>
      <c r="D66" s="116" t="s">
        <v>175</v>
      </c>
      <c r="E66" s="110" t="s">
        <v>256</v>
      </c>
      <c r="F66" s="102">
        <v>12</v>
      </c>
      <c r="G66" s="102" t="s">
        <v>51</v>
      </c>
      <c r="H66" s="111">
        <v>244492</v>
      </c>
      <c r="I66" s="110"/>
      <c r="J66" s="109" t="s">
        <v>68</v>
      </c>
      <c r="K66" s="111">
        <v>244493</v>
      </c>
      <c r="L66" s="112">
        <v>4</v>
      </c>
      <c r="M66" s="103"/>
    </row>
    <row r="67" spans="1:13">
      <c r="A67" s="77">
        <v>39</v>
      </c>
      <c r="B67" s="110" t="s">
        <v>96</v>
      </c>
      <c r="C67" s="78" t="s">
        <v>54</v>
      </c>
      <c r="D67" s="116" t="s">
        <v>175</v>
      </c>
      <c r="E67" s="110" t="s">
        <v>109</v>
      </c>
      <c r="F67" s="102">
        <v>14</v>
      </c>
      <c r="G67" s="102" t="s">
        <v>52</v>
      </c>
      <c r="H67" s="111">
        <v>244489</v>
      </c>
      <c r="I67" s="110"/>
      <c r="J67" s="84" t="s">
        <v>70</v>
      </c>
      <c r="K67" s="111"/>
      <c r="L67" s="112"/>
      <c r="M67" s="103"/>
    </row>
    <row r="68" spans="1:13">
      <c r="A68" s="77">
        <v>40</v>
      </c>
      <c r="B68" s="110" t="s">
        <v>244</v>
      </c>
      <c r="C68" s="78" t="s">
        <v>54</v>
      </c>
      <c r="D68" s="116" t="s">
        <v>173</v>
      </c>
      <c r="E68" s="110" t="s">
        <v>257</v>
      </c>
      <c r="F68" s="102" t="s">
        <v>90</v>
      </c>
      <c r="G68" s="102" t="s">
        <v>45</v>
      </c>
      <c r="H68" s="111">
        <v>244490</v>
      </c>
      <c r="I68" s="110"/>
      <c r="J68" s="109" t="s">
        <v>68</v>
      </c>
      <c r="K68" s="111">
        <v>244493</v>
      </c>
      <c r="L68" s="112">
        <v>3</v>
      </c>
      <c r="M68" s="103"/>
    </row>
    <row r="69" spans="1:13">
      <c r="A69" s="77">
        <v>41</v>
      </c>
      <c r="B69" s="110" t="s">
        <v>244</v>
      </c>
      <c r="C69" s="78" t="s">
        <v>54</v>
      </c>
      <c r="D69" s="116" t="s">
        <v>173</v>
      </c>
      <c r="E69" s="110" t="s">
        <v>258</v>
      </c>
      <c r="F69" s="102" t="s">
        <v>90</v>
      </c>
      <c r="G69" s="102" t="s">
        <v>45</v>
      </c>
      <c r="H69" s="111">
        <v>244490</v>
      </c>
      <c r="I69" s="110" t="s">
        <v>259</v>
      </c>
      <c r="J69" s="109" t="s">
        <v>68</v>
      </c>
      <c r="K69" s="111">
        <v>244493</v>
      </c>
      <c r="L69" s="112">
        <v>4</v>
      </c>
      <c r="M69" s="103"/>
    </row>
    <row r="70" spans="1:13">
      <c r="A70" s="77">
        <v>42</v>
      </c>
      <c r="B70" s="117" t="s">
        <v>244</v>
      </c>
      <c r="C70" s="78" t="s">
        <v>54</v>
      </c>
      <c r="D70" s="118" t="s">
        <v>173</v>
      </c>
      <c r="E70" s="118" t="s">
        <v>260</v>
      </c>
      <c r="F70" s="112" t="s">
        <v>90</v>
      </c>
      <c r="G70" s="93" t="s">
        <v>45</v>
      </c>
      <c r="H70" s="108"/>
      <c r="I70" s="118" t="s">
        <v>261</v>
      </c>
      <c r="J70" s="84" t="s">
        <v>68</v>
      </c>
      <c r="K70" s="108">
        <v>244493</v>
      </c>
      <c r="L70" s="112">
        <v>4</v>
      </c>
      <c r="M70" s="103"/>
    </row>
    <row r="71" spans="1:13">
      <c r="A71" s="77">
        <v>43</v>
      </c>
      <c r="B71" s="117" t="s">
        <v>87</v>
      </c>
      <c r="C71" s="78" t="s">
        <v>54</v>
      </c>
      <c r="D71" s="118" t="s">
        <v>173</v>
      </c>
      <c r="E71" s="118" t="s">
        <v>262</v>
      </c>
      <c r="F71" s="112">
        <v>12</v>
      </c>
      <c r="G71" s="93" t="s">
        <v>51</v>
      </c>
      <c r="H71" s="119">
        <v>244459</v>
      </c>
      <c r="I71" s="118" t="s">
        <v>183</v>
      </c>
      <c r="J71" s="84" t="s">
        <v>68</v>
      </c>
      <c r="K71" s="108">
        <v>244493</v>
      </c>
      <c r="L71" s="112">
        <v>4</v>
      </c>
      <c r="M71" s="103"/>
    </row>
    <row r="72" spans="1:13">
      <c r="A72" s="77">
        <v>44</v>
      </c>
      <c r="B72" s="110" t="s">
        <v>244</v>
      </c>
      <c r="C72" s="78" t="s">
        <v>54</v>
      </c>
      <c r="D72" s="110" t="s">
        <v>173</v>
      </c>
      <c r="E72" s="110" t="s">
        <v>263</v>
      </c>
      <c r="F72" s="120">
        <v>7</v>
      </c>
      <c r="G72" s="93" t="s">
        <v>49</v>
      </c>
      <c r="H72" s="111">
        <v>244496</v>
      </c>
      <c r="I72" s="110" t="s">
        <v>264</v>
      </c>
      <c r="J72" s="84" t="s">
        <v>68</v>
      </c>
      <c r="K72" s="111">
        <v>244496</v>
      </c>
      <c r="L72" s="102">
        <v>4</v>
      </c>
      <c r="M72" s="103"/>
    </row>
    <row r="73" spans="1:13">
      <c r="A73" s="77">
        <v>45</v>
      </c>
      <c r="B73" s="110" t="s">
        <v>265</v>
      </c>
      <c r="C73" s="78" t="s">
        <v>65</v>
      </c>
      <c r="D73" s="110" t="s">
        <v>173</v>
      </c>
      <c r="E73" s="110" t="s">
        <v>266</v>
      </c>
      <c r="F73" s="120">
        <v>10</v>
      </c>
      <c r="G73" s="93" t="s">
        <v>48</v>
      </c>
      <c r="H73" s="111">
        <v>244496</v>
      </c>
      <c r="I73" s="110" t="s">
        <v>267</v>
      </c>
      <c r="J73" s="84" t="s">
        <v>68</v>
      </c>
      <c r="K73" s="111">
        <v>244496</v>
      </c>
      <c r="L73" s="102">
        <v>4</v>
      </c>
      <c r="M73" s="103"/>
    </row>
    <row r="74" spans="1:13">
      <c r="A74" s="77">
        <v>46</v>
      </c>
      <c r="B74" s="110" t="s">
        <v>265</v>
      </c>
      <c r="C74" s="78" t="s">
        <v>65</v>
      </c>
      <c r="D74" s="110" t="s">
        <v>173</v>
      </c>
      <c r="E74" s="110" t="s">
        <v>268</v>
      </c>
      <c r="F74" s="120">
        <v>10</v>
      </c>
      <c r="G74" s="93" t="s">
        <v>48</v>
      </c>
      <c r="H74" s="111">
        <v>244496</v>
      </c>
      <c r="I74" s="110" t="s">
        <v>269</v>
      </c>
      <c r="J74" s="84" t="s">
        <v>68</v>
      </c>
      <c r="K74" s="111">
        <v>244502</v>
      </c>
      <c r="L74" s="102">
        <v>5</v>
      </c>
      <c r="M74" s="103"/>
    </row>
    <row r="75" spans="1:13">
      <c r="A75" s="77">
        <v>47</v>
      </c>
      <c r="B75" s="110" t="s">
        <v>223</v>
      </c>
      <c r="C75" s="78" t="s">
        <v>54</v>
      </c>
      <c r="D75" s="110" t="s">
        <v>173</v>
      </c>
      <c r="E75" s="110" t="s">
        <v>270</v>
      </c>
      <c r="F75" s="80" t="s">
        <v>90</v>
      </c>
      <c r="G75" s="93" t="s">
        <v>52</v>
      </c>
      <c r="H75" s="111">
        <v>244496</v>
      </c>
      <c r="I75" s="110" t="s">
        <v>119</v>
      </c>
      <c r="J75" s="84" t="s">
        <v>68</v>
      </c>
      <c r="K75" s="111">
        <v>244498</v>
      </c>
      <c r="L75" s="102">
        <v>5</v>
      </c>
      <c r="M75" s="103"/>
    </row>
    <row r="76" spans="1:13">
      <c r="A76" s="77">
        <v>48</v>
      </c>
      <c r="B76" s="110" t="s">
        <v>56</v>
      </c>
      <c r="C76" s="78" t="s">
        <v>56</v>
      </c>
      <c r="D76" s="79" t="s">
        <v>175</v>
      </c>
      <c r="E76" s="110" t="s">
        <v>271</v>
      </c>
      <c r="F76" s="80">
        <v>6</v>
      </c>
      <c r="G76" s="93" t="s">
        <v>46</v>
      </c>
      <c r="H76" s="111">
        <v>244498</v>
      </c>
      <c r="I76" s="110" t="s">
        <v>272</v>
      </c>
      <c r="J76" s="84" t="s">
        <v>68</v>
      </c>
      <c r="K76" s="111">
        <v>244498</v>
      </c>
      <c r="L76" s="102">
        <v>5</v>
      </c>
      <c r="M76" s="103"/>
    </row>
    <row r="77" spans="1:13">
      <c r="A77" s="77">
        <v>49</v>
      </c>
      <c r="B77" s="110" t="s">
        <v>56</v>
      </c>
      <c r="C77" s="78" t="s">
        <v>56</v>
      </c>
      <c r="D77" s="79" t="s">
        <v>175</v>
      </c>
      <c r="E77" s="110" t="s">
        <v>273</v>
      </c>
      <c r="F77" s="80">
        <v>6</v>
      </c>
      <c r="G77" s="93" t="s">
        <v>52</v>
      </c>
      <c r="H77" s="111">
        <v>244498</v>
      </c>
      <c r="I77" s="110" t="s">
        <v>134</v>
      </c>
      <c r="J77" s="84" t="s">
        <v>68</v>
      </c>
      <c r="K77" s="111">
        <v>244498</v>
      </c>
      <c r="L77" s="102">
        <v>5</v>
      </c>
      <c r="M77" s="103"/>
    </row>
    <row r="78" spans="1:13">
      <c r="A78" s="77">
        <v>50</v>
      </c>
      <c r="B78" s="121" t="s">
        <v>87</v>
      </c>
      <c r="C78" s="78" t="s">
        <v>54</v>
      </c>
      <c r="D78" s="79" t="s">
        <v>175</v>
      </c>
      <c r="E78" s="110" t="s">
        <v>274</v>
      </c>
      <c r="F78" s="80" t="s">
        <v>90</v>
      </c>
      <c r="G78" s="93" t="s">
        <v>52</v>
      </c>
      <c r="H78" s="111">
        <v>244499</v>
      </c>
      <c r="I78" s="110" t="s">
        <v>275</v>
      </c>
      <c r="J78" s="84" t="s">
        <v>68</v>
      </c>
      <c r="K78" s="111">
        <v>244499</v>
      </c>
      <c r="L78" s="102">
        <v>5</v>
      </c>
      <c r="M78" s="103"/>
    </row>
    <row r="79" spans="1:13" ht="30" customHeight="1">
      <c r="A79" s="320"/>
      <c r="B79" s="321" t="s">
        <v>165</v>
      </c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194"/>
    </row>
    <row r="80" spans="1:13" ht="30" customHeight="1">
      <c r="A80" s="326"/>
      <c r="B80" s="321" t="s">
        <v>276</v>
      </c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194"/>
    </row>
    <row r="81" spans="1:19" s="66" customFormat="1" ht="25.05" customHeight="1">
      <c r="A81" s="122" t="s">
        <v>75</v>
      </c>
      <c r="B81" s="123" t="s">
        <v>215</v>
      </c>
      <c r="C81" s="123" t="s">
        <v>76</v>
      </c>
      <c r="D81" s="123" t="s">
        <v>169</v>
      </c>
      <c r="E81" s="123" t="s">
        <v>170</v>
      </c>
      <c r="F81" s="123" t="s">
        <v>77</v>
      </c>
      <c r="G81" s="123" t="s">
        <v>74</v>
      </c>
      <c r="H81" s="124" t="s">
        <v>171</v>
      </c>
      <c r="I81" s="123" t="s">
        <v>110</v>
      </c>
      <c r="J81" s="125" t="s">
        <v>172</v>
      </c>
      <c r="K81" s="124" t="s">
        <v>111</v>
      </c>
      <c r="L81" s="126" t="s">
        <v>39</v>
      </c>
      <c r="M81" s="195"/>
    </row>
    <row r="82" spans="1:19">
      <c r="A82" s="78">
        <v>1</v>
      </c>
      <c r="B82" s="78" t="s">
        <v>103</v>
      </c>
      <c r="C82" s="78" t="s">
        <v>54</v>
      </c>
      <c r="D82" s="79" t="s">
        <v>175</v>
      </c>
      <c r="E82" s="78" t="s">
        <v>277</v>
      </c>
      <c r="F82" s="80">
        <v>15</v>
      </c>
      <c r="G82" s="80" t="s">
        <v>45</v>
      </c>
      <c r="H82" s="101">
        <v>244502</v>
      </c>
      <c r="I82" s="78" t="s">
        <v>278</v>
      </c>
      <c r="J82" s="82" t="s">
        <v>68</v>
      </c>
      <c r="K82" s="101">
        <v>244502</v>
      </c>
      <c r="L82" s="102">
        <v>1</v>
      </c>
      <c r="M82" s="103"/>
      <c r="O82" s="327"/>
      <c r="P82" s="327"/>
      <c r="Q82" s="327"/>
      <c r="R82" s="327"/>
      <c r="S82" s="327"/>
    </row>
    <row r="83" spans="1:19">
      <c r="A83" s="78">
        <v>2</v>
      </c>
      <c r="B83" s="121" t="s">
        <v>87</v>
      </c>
      <c r="C83" s="78" t="s">
        <v>54</v>
      </c>
      <c r="D83" s="79" t="s">
        <v>175</v>
      </c>
      <c r="E83" s="78" t="s">
        <v>279</v>
      </c>
      <c r="F83" s="80">
        <v>5</v>
      </c>
      <c r="G83" s="80" t="s">
        <v>52</v>
      </c>
      <c r="H83" s="101">
        <v>244502</v>
      </c>
      <c r="I83" s="78" t="s">
        <v>280</v>
      </c>
      <c r="J83" s="82" t="s">
        <v>68</v>
      </c>
      <c r="K83" s="101">
        <v>244502</v>
      </c>
      <c r="L83" s="102">
        <v>1</v>
      </c>
      <c r="M83" s="103"/>
    </row>
    <row r="84" spans="1:19">
      <c r="A84" s="78">
        <v>3</v>
      </c>
      <c r="B84" s="78" t="s">
        <v>244</v>
      </c>
      <c r="C84" s="78" t="s">
        <v>54</v>
      </c>
      <c r="D84" s="79" t="s">
        <v>175</v>
      </c>
      <c r="E84" s="78" t="s">
        <v>281</v>
      </c>
      <c r="F84" s="80">
        <v>9</v>
      </c>
      <c r="G84" s="80" t="s">
        <v>47</v>
      </c>
      <c r="H84" s="101">
        <v>244504</v>
      </c>
      <c r="I84" s="78" t="s">
        <v>282</v>
      </c>
      <c r="J84" s="82" t="s">
        <v>68</v>
      </c>
      <c r="K84" s="101">
        <v>244513</v>
      </c>
      <c r="L84" s="102">
        <v>2</v>
      </c>
      <c r="M84" s="103"/>
    </row>
    <row r="85" spans="1:19">
      <c r="A85" s="78">
        <v>4</v>
      </c>
      <c r="B85" s="78" t="s">
        <v>283</v>
      </c>
      <c r="C85" s="78" t="s">
        <v>54</v>
      </c>
      <c r="D85" s="79" t="s">
        <v>173</v>
      </c>
      <c r="E85" s="78" t="s">
        <v>284</v>
      </c>
      <c r="F85" s="80">
        <v>2</v>
      </c>
      <c r="G85" s="80" t="s">
        <v>47</v>
      </c>
      <c r="H85" s="101">
        <v>244504</v>
      </c>
      <c r="I85" s="78" t="s">
        <v>285</v>
      </c>
      <c r="J85" s="82" t="s">
        <v>68</v>
      </c>
      <c r="K85" s="101">
        <v>244504</v>
      </c>
      <c r="L85" s="102">
        <v>1</v>
      </c>
      <c r="M85" s="103"/>
    </row>
    <row r="86" spans="1:19">
      <c r="A86" s="78">
        <v>5</v>
      </c>
      <c r="B86" s="78" t="s">
        <v>286</v>
      </c>
      <c r="C86" s="78" t="s">
        <v>54</v>
      </c>
      <c r="D86" s="79" t="s">
        <v>175</v>
      </c>
      <c r="E86" s="78" t="s">
        <v>287</v>
      </c>
      <c r="F86" s="80"/>
      <c r="G86" s="80" t="s">
        <v>52</v>
      </c>
      <c r="H86" s="101">
        <v>244505</v>
      </c>
      <c r="I86" s="78" t="s">
        <v>288</v>
      </c>
      <c r="J86" s="82" t="s">
        <v>70</v>
      </c>
      <c r="K86" s="101"/>
      <c r="L86" s="102"/>
      <c r="M86" s="103"/>
    </row>
    <row r="87" spans="1:19">
      <c r="A87" s="78">
        <v>6</v>
      </c>
      <c r="B87" s="78" t="s">
        <v>289</v>
      </c>
      <c r="C87" s="78" t="s">
        <v>54</v>
      </c>
      <c r="D87" s="79" t="s">
        <v>175</v>
      </c>
      <c r="E87" s="78" t="s">
        <v>290</v>
      </c>
      <c r="F87" s="80">
        <v>11</v>
      </c>
      <c r="G87" s="80" t="s">
        <v>51</v>
      </c>
      <c r="H87" s="101">
        <v>244506</v>
      </c>
      <c r="I87" s="78" t="s">
        <v>291</v>
      </c>
      <c r="J87" s="82" t="s">
        <v>68</v>
      </c>
      <c r="K87" s="101">
        <v>244506</v>
      </c>
      <c r="L87" s="102">
        <v>1</v>
      </c>
      <c r="M87" s="103"/>
    </row>
    <row r="88" spans="1:19">
      <c r="A88" s="78">
        <v>7</v>
      </c>
      <c r="B88" s="78" t="s">
        <v>234</v>
      </c>
      <c r="C88" s="78" t="s">
        <v>54</v>
      </c>
      <c r="D88" s="79" t="s">
        <v>175</v>
      </c>
      <c r="E88" s="78" t="s">
        <v>292</v>
      </c>
      <c r="F88" s="80">
        <v>12</v>
      </c>
      <c r="G88" s="80" t="s">
        <v>46</v>
      </c>
      <c r="H88" s="101">
        <v>244506</v>
      </c>
      <c r="I88" s="78" t="s">
        <v>124</v>
      </c>
      <c r="J88" s="82" t="s">
        <v>68</v>
      </c>
      <c r="K88" s="101">
        <v>244513</v>
      </c>
      <c r="L88" s="102">
        <v>2</v>
      </c>
      <c r="M88" s="103"/>
    </row>
    <row r="89" spans="1:19">
      <c r="A89" s="78">
        <v>8</v>
      </c>
      <c r="B89" s="78" t="s">
        <v>289</v>
      </c>
      <c r="C89" s="78" t="s">
        <v>54</v>
      </c>
      <c r="D89" s="79" t="s">
        <v>173</v>
      </c>
      <c r="E89" s="78" t="s">
        <v>293</v>
      </c>
      <c r="F89" s="80">
        <v>5</v>
      </c>
      <c r="G89" s="80" t="s">
        <v>52</v>
      </c>
      <c r="H89" s="101">
        <v>244508</v>
      </c>
      <c r="I89" s="78" t="s">
        <v>124</v>
      </c>
      <c r="J89" s="82" t="s">
        <v>68</v>
      </c>
      <c r="K89" s="101">
        <v>244509</v>
      </c>
      <c r="L89" s="102">
        <v>1</v>
      </c>
      <c r="M89" s="103"/>
    </row>
    <row r="90" spans="1:19">
      <c r="A90" s="78">
        <v>9</v>
      </c>
      <c r="B90" s="78" t="s">
        <v>234</v>
      </c>
      <c r="C90" s="78" t="s">
        <v>54</v>
      </c>
      <c r="D90" s="79" t="s">
        <v>173</v>
      </c>
      <c r="E90" s="78" t="s">
        <v>294</v>
      </c>
      <c r="F90" s="80">
        <v>15</v>
      </c>
      <c r="G90" s="80" t="s">
        <v>46</v>
      </c>
      <c r="H90" s="101">
        <v>244509</v>
      </c>
      <c r="I90" s="78" t="s">
        <v>295</v>
      </c>
      <c r="J90" s="82" t="s">
        <v>68</v>
      </c>
      <c r="K90" s="101">
        <v>244513</v>
      </c>
      <c r="L90" s="102">
        <v>2</v>
      </c>
      <c r="M90" s="103"/>
    </row>
    <row r="91" spans="1:19">
      <c r="A91" s="78">
        <v>10</v>
      </c>
      <c r="B91" s="78" t="s">
        <v>234</v>
      </c>
      <c r="C91" s="78" t="s">
        <v>54</v>
      </c>
      <c r="D91" s="79" t="s">
        <v>173</v>
      </c>
      <c r="E91" s="78" t="s">
        <v>296</v>
      </c>
      <c r="F91" s="80">
        <v>12</v>
      </c>
      <c r="G91" s="80" t="s">
        <v>51</v>
      </c>
      <c r="H91" s="101">
        <v>244509</v>
      </c>
      <c r="I91" s="78" t="s">
        <v>129</v>
      </c>
      <c r="J91" s="82" t="s">
        <v>68</v>
      </c>
      <c r="K91" s="101" t="s">
        <v>297</v>
      </c>
      <c r="L91" s="102">
        <v>4</v>
      </c>
      <c r="M91" s="103"/>
    </row>
    <row r="92" spans="1:19">
      <c r="A92" s="78">
        <v>11</v>
      </c>
      <c r="B92" s="78" t="s">
        <v>289</v>
      </c>
      <c r="C92" s="78" t="s">
        <v>54</v>
      </c>
      <c r="D92" s="79" t="s">
        <v>173</v>
      </c>
      <c r="E92" s="78" t="s">
        <v>298</v>
      </c>
      <c r="F92" s="80" t="s">
        <v>90</v>
      </c>
      <c r="G92" s="80" t="s">
        <v>72</v>
      </c>
      <c r="H92" s="101">
        <v>244510</v>
      </c>
      <c r="I92" s="78" t="s">
        <v>145</v>
      </c>
      <c r="J92" s="82" t="s">
        <v>68</v>
      </c>
      <c r="K92" s="101">
        <v>244524</v>
      </c>
      <c r="L92" s="102">
        <v>4</v>
      </c>
      <c r="M92" s="103"/>
    </row>
    <row r="93" spans="1:19">
      <c r="A93" s="78">
        <v>12</v>
      </c>
      <c r="B93" s="78" t="s">
        <v>299</v>
      </c>
      <c r="C93" s="78" t="s">
        <v>54</v>
      </c>
      <c r="D93" s="79" t="s">
        <v>175</v>
      </c>
      <c r="E93" s="78" t="s">
        <v>300</v>
      </c>
      <c r="F93" s="80" t="s">
        <v>90</v>
      </c>
      <c r="G93" s="80" t="s">
        <v>47</v>
      </c>
      <c r="H93" s="101">
        <v>244511</v>
      </c>
      <c r="I93" s="78" t="s">
        <v>301</v>
      </c>
      <c r="J93" s="82" t="s">
        <v>70</v>
      </c>
      <c r="K93" s="101"/>
      <c r="L93" s="102"/>
      <c r="M93" s="103"/>
    </row>
    <row r="94" spans="1:19">
      <c r="A94" s="78">
        <v>13</v>
      </c>
      <c r="B94" s="78" t="s">
        <v>286</v>
      </c>
      <c r="C94" s="78" t="s">
        <v>54</v>
      </c>
      <c r="D94" s="79" t="s">
        <v>175</v>
      </c>
      <c r="E94" s="78" t="s">
        <v>302</v>
      </c>
      <c r="F94" s="80" t="s">
        <v>107</v>
      </c>
      <c r="G94" s="80" t="s">
        <v>52</v>
      </c>
      <c r="H94" s="101">
        <v>244512</v>
      </c>
      <c r="I94" s="78" t="s">
        <v>303</v>
      </c>
      <c r="J94" s="82" t="s">
        <v>70</v>
      </c>
      <c r="K94" s="101"/>
      <c r="L94" s="102"/>
      <c r="M94" s="103"/>
    </row>
    <row r="95" spans="1:19">
      <c r="A95" s="78">
        <v>14</v>
      </c>
      <c r="B95" s="78" t="s">
        <v>286</v>
      </c>
      <c r="C95" s="78" t="s">
        <v>54</v>
      </c>
      <c r="D95" s="79" t="s">
        <v>175</v>
      </c>
      <c r="E95" s="78" t="s">
        <v>304</v>
      </c>
      <c r="F95" s="80" t="s">
        <v>107</v>
      </c>
      <c r="G95" s="80" t="s">
        <v>72</v>
      </c>
      <c r="H95" s="101">
        <v>244512</v>
      </c>
      <c r="I95" s="78" t="s">
        <v>305</v>
      </c>
      <c r="J95" s="82" t="s">
        <v>70</v>
      </c>
      <c r="K95" s="101"/>
      <c r="L95" s="102"/>
      <c r="M95" s="103"/>
    </row>
    <row r="96" spans="1:19">
      <c r="A96" s="78">
        <v>15</v>
      </c>
      <c r="B96" s="78" t="s">
        <v>234</v>
      </c>
      <c r="C96" s="78" t="s">
        <v>54</v>
      </c>
      <c r="D96" s="79" t="s">
        <v>173</v>
      </c>
      <c r="E96" s="78" t="s">
        <v>306</v>
      </c>
      <c r="F96" s="80" t="s">
        <v>107</v>
      </c>
      <c r="G96" s="80" t="s">
        <v>72</v>
      </c>
      <c r="H96" s="101">
        <v>244512</v>
      </c>
      <c r="I96" s="78" t="s">
        <v>305</v>
      </c>
      <c r="J96" s="82" t="s">
        <v>70</v>
      </c>
      <c r="K96" s="101"/>
      <c r="L96" s="102"/>
      <c r="M96" s="103"/>
    </row>
    <row r="97" spans="1:13">
      <c r="A97" s="78">
        <v>16</v>
      </c>
      <c r="B97" s="78" t="s">
        <v>101</v>
      </c>
      <c r="C97" s="78" t="s">
        <v>54</v>
      </c>
      <c r="D97" s="79" t="s">
        <v>173</v>
      </c>
      <c r="E97" s="78" t="s">
        <v>307</v>
      </c>
      <c r="F97" s="80" t="s">
        <v>90</v>
      </c>
      <c r="G97" s="80" t="s">
        <v>72</v>
      </c>
      <c r="H97" s="101">
        <v>244511</v>
      </c>
      <c r="I97" s="78" t="s">
        <v>113</v>
      </c>
      <c r="J97" s="82" t="s">
        <v>68</v>
      </c>
      <c r="K97" s="101">
        <v>244513</v>
      </c>
      <c r="L97" s="102">
        <v>2</v>
      </c>
      <c r="M97" s="103"/>
    </row>
    <row r="98" spans="1:13">
      <c r="A98" s="78">
        <v>17</v>
      </c>
      <c r="B98" s="78" t="s">
        <v>226</v>
      </c>
      <c r="C98" s="78" t="s">
        <v>56</v>
      </c>
      <c r="D98" s="79" t="s">
        <v>175</v>
      </c>
      <c r="E98" s="78" t="s">
        <v>308</v>
      </c>
      <c r="F98" s="80" t="s">
        <v>90</v>
      </c>
      <c r="G98" s="80" t="s">
        <v>46</v>
      </c>
      <c r="H98" s="101">
        <v>244513</v>
      </c>
      <c r="I98" s="78" t="s">
        <v>309</v>
      </c>
      <c r="J98" s="82" t="s">
        <v>68</v>
      </c>
      <c r="K98" s="101">
        <v>244513</v>
      </c>
      <c r="L98" s="102">
        <v>2</v>
      </c>
      <c r="M98" s="103"/>
    </row>
    <row r="99" spans="1:13">
      <c r="A99" s="78">
        <v>18</v>
      </c>
      <c r="B99" s="78" t="s">
        <v>234</v>
      </c>
      <c r="C99" s="78" t="s">
        <v>54</v>
      </c>
      <c r="D99" s="79" t="s">
        <v>175</v>
      </c>
      <c r="E99" s="78" t="s">
        <v>310</v>
      </c>
      <c r="F99" s="80">
        <v>9</v>
      </c>
      <c r="G99" s="80" t="s">
        <v>46</v>
      </c>
      <c r="H99" s="101">
        <v>244513</v>
      </c>
      <c r="I99" s="78" t="s">
        <v>282</v>
      </c>
      <c r="J99" s="82" t="s">
        <v>68</v>
      </c>
      <c r="K99" s="101">
        <v>244513</v>
      </c>
      <c r="L99" s="102">
        <v>2</v>
      </c>
      <c r="M99" s="103"/>
    </row>
    <row r="100" spans="1:13">
      <c r="A100" s="78">
        <v>19</v>
      </c>
      <c r="B100" s="127" t="s">
        <v>234</v>
      </c>
      <c r="C100" s="127" t="s">
        <v>54</v>
      </c>
      <c r="D100" s="128" t="s">
        <v>175</v>
      </c>
      <c r="E100" s="127" t="s">
        <v>294</v>
      </c>
      <c r="F100" s="129">
        <v>15</v>
      </c>
      <c r="G100" s="129" t="s">
        <v>46</v>
      </c>
      <c r="H100" s="130">
        <v>244509</v>
      </c>
      <c r="I100" s="127" t="s">
        <v>311</v>
      </c>
      <c r="J100" s="131" t="s">
        <v>70</v>
      </c>
      <c r="K100" s="130"/>
      <c r="L100" s="132"/>
      <c r="M100" s="133"/>
    </row>
    <row r="101" spans="1:13">
      <c r="A101" s="78">
        <v>20</v>
      </c>
      <c r="B101" s="78" t="s">
        <v>244</v>
      </c>
      <c r="C101" s="78" t="s">
        <v>54</v>
      </c>
      <c r="D101" s="79" t="s">
        <v>173</v>
      </c>
      <c r="E101" s="78" t="s">
        <v>312</v>
      </c>
      <c r="F101" s="80" t="s">
        <v>90</v>
      </c>
      <c r="G101" s="80" t="s">
        <v>45</v>
      </c>
      <c r="H101" s="101">
        <v>244509</v>
      </c>
      <c r="I101" s="78" t="s">
        <v>313</v>
      </c>
      <c r="J101" s="82" t="s">
        <v>68</v>
      </c>
      <c r="K101" s="101">
        <v>244525</v>
      </c>
      <c r="L101" s="102">
        <v>4</v>
      </c>
      <c r="M101" s="103"/>
    </row>
    <row r="102" spans="1:13">
      <c r="A102" s="78">
        <v>21</v>
      </c>
      <c r="B102" s="78" t="s">
        <v>229</v>
      </c>
      <c r="C102" s="78" t="s">
        <v>54</v>
      </c>
      <c r="D102" s="79" t="s">
        <v>173</v>
      </c>
      <c r="E102" s="78" t="s">
        <v>314</v>
      </c>
      <c r="F102" s="80">
        <v>8</v>
      </c>
      <c r="G102" s="80" t="s">
        <v>46</v>
      </c>
      <c r="H102" s="101">
        <v>244516</v>
      </c>
      <c r="I102" s="78" t="s">
        <v>315</v>
      </c>
      <c r="J102" s="82" t="s">
        <v>68</v>
      </c>
      <c r="K102" s="101">
        <v>244516</v>
      </c>
      <c r="L102" s="102">
        <v>3</v>
      </c>
      <c r="M102" s="103"/>
    </row>
    <row r="103" spans="1:13">
      <c r="A103" s="78">
        <v>22</v>
      </c>
      <c r="B103" s="78" t="s">
        <v>244</v>
      </c>
      <c r="C103" s="78" t="s">
        <v>54</v>
      </c>
      <c r="D103" s="79" t="s">
        <v>173</v>
      </c>
      <c r="E103" s="78" t="s">
        <v>316</v>
      </c>
      <c r="F103" s="80" t="s">
        <v>90</v>
      </c>
      <c r="G103" s="80" t="s">
        <v>53</v>
      </c>
      <c r="H103" s="101">
        <v>244517</v>
      </c>
      <c r="I103" s="78" t="s">
        <v>317</v>
      </c>
      <c r="J103" s="82" t="s">
        <v>68</v>
      </c>
      <c r="K103" s="101">
        <v>244525</v>
      </c>
      <c r="L103" s="102">
        <v>4</v>
      </c>
      <c r="M103" s="103"/>
    </row>
    <row r="104" spans="1:13">
      <c r="A104" s="78">
        <v>23</v>
      </c>
      <c r="B104" s="78" t="s">
        <v>244</v>
      </c>
      <c r="C104" s="78" t="s">
        <v>54</v>
      </c>
      <c r="D104" s="79" t="s">
        <v>173</v>
      </c>
      <c r="E104" s="78" t="s">
        <v>318</v>
      </c>
      <c r="F104" s="80"/>
      <c r="G104" s="80" t="s">
        <v>52</v>
      </c>
      <c r="H104" s="101">
        <v>244517</v>
      </c>
      <c r="I104" s="78" t="s">
        <v>122</v>
      </c>
      <c r="J104" s="82" t="s">
        <v>68</v>
      </c>
      <c r="K104" s="101">
        <v>244524</v>
      </c>
      <c r="L104" s="102">
        <v>4</v>
      </c>
      <c r="M104" s="103"/>
    </row>
    <row r="105" spans="1:13">
      <c r="A105" s="78">
        <v>24</v>
      </c>
      <c r="B105" s="78" t="s">
        <v>234</v>
      </c>
      <c r="C105" s="78" t="s">
        <v>56</v>
      </c>
      <c r="D105" s="79" t="s">
        <v>173</v>
      </c>
      <c r="E105" s="78" t="s">
        <v>319</v>
      </c>
      <c r="F105" s="80">
        <v>2</v>
      </c>
      <c r="G105" s="80" t="s">
        <v>53</v>
      </c>
      <c r="H105" s="101">
        <v>244515</v>
      </c>
      <c r="I105" s="78" t="s">
        <v>320</v>
      </c>
      <c r="J105" s="82" t="s">
        <v>68</v>
      </c>
      <c r="K105" s="101">
        <v>244519</v>
      </c>
      <c r="L105" s="102">
        <v>3</v>
      </c>
      <c r="M105" s="103"/>
    </row>
    <row r="106" spans="1:13">
      <c r="A106" s="78">
        <v>25</v>
      </c>
      <c r="B106" s="78" t="s">
        <v>229</v>
      </c>
      <c r="C106" s="78" t="s">
        <v>54</v>
      </c>
      <c r="D106" s="79" t="s">
        <v>175</v>
      </c>
      <c r="E106" s="78" t="s">
        <v>321</v>
      </c>
      <c r="F106" s="80" t="s">
        <v>90</v>
      </c>
      <c r="G106" s="80" t="s">
        <v>52</v>
      </c>
      <c r="H106" s="101">
        <v>244517</v>
      </c>
      <c r="I106" s="78" t="s">
        <v>322</v>
      </c>
      <c r="J106" s="82" t="s">
        <v>68</v>
      </c>
      <c r="K106" s="101">
        <v>244518</v>
      </c>
      <c r="L106" s="102">
        <v>3</v>
      </c>
      <c r="M106" s="103"/>
    </row>
    <row r="107" spans="1:13">
      <c r="A107" s="78">
        <v>26</v>
      </c>
      <c r="B107" s="78" t="s">
        <v>323</v>
      </c>
      <c r="C107" s="78" t="s">
        <v>54</v>
      </c>
      <c r="D107" s="79" t="s">
        <v>175</v>
      </c>
      <c r="E107" s="78" t="s">
        <v>324</v>
      </c>
      <c r="F107" s="80">
        <v>15</v>
      </c>
      <c r="G107" s="80" t="s">
        <v>72</v>
      </c>
      <c r="H107" s="101">
        <v>244517</v>
      </c>
      <c r="I107" s="78" t="s">
        <v>325</v>
      </c>
      <c r="J107" s="82" t="s">
        <v>70</v>
      </c>
      <c r="K107" s="101"/>
      <c r="L107" s="102"/>
      <c r="M107" s="103"/>
    </row>
    <row r="108" spans="1:13">
      <c r="A108" s="78">
        <v>27</v>
      </c>
      <c r="B108" s="78" t="s">
        <v>56</v>
      </c>
      <c r="C108" s="78" t="s">
        <v>56</v>
      </c>
      <c r="D108" s="79" t="s">
        <v>175</v>
      </c>
      <c r="E108" s="78" t="s">
        <v>326</v>
      </c>
      <c r="F108" s="80">
        <v>5</v>
      </c>
      <c r="G108" s="80" t="s">
        <v>51</v>
      </c>
      <c r="H108" s="101">
        <v>244509</v>
      </c>
      <c r="I108" s="78" t="s">
        <v>327</v>
      </c>
      <c r="J108" s="82" t="s">
        <v>68</v>
      </c>
      <c r="K108" s="101">
        <v>244519</v>
      </c>
      <c r="L108" s="102">
        <v>3</v>
      </c>
      <c r="M108" s="103"/>
    </row>
    <row r="109" spans="1:13">
      <c r="A109" s="78">
        <v>28</v>
      </c>
      <c r="B109" s="78" t="s">
        <v>234</v>
      </c>
      <c r="C109" s="78" t="s">
        <v>54</v>
      </c>
      <c r="D109" s="79" t="s">
        <v>173</v>
      </c>
      <c r="E109" s="78" t="s">
        <v>328</v>
      </c>
      <c r="F109" s="80">
        <v>10</v>
      </c>
      <c r="G109" s="80" t="s">
        <v>46</v>
      </c>
      <c r="H109" s="101">
        <v>244522</v>
      </c>
      <c r="I109" s="78" t="s">
        <v>156</v>
      </c>
      <c r="J109" s="82" t="s">
        <v>68</v>
      </c>
      <c r="K109" s="101">
        <v>244524</v>
      </c>
      <c r="L109" s="102">
        <v>4</v>
      </c>
      <c r="M109" s="103"/>
    </row>
    <row r="110" spans="1:13">
      <c r="A110" s="78">
        <v>29</v>
      </c>
      <c r="B110" s="78" t="s">
        <v>229</v>
      </c>
      <c r="C110" s="78" t="s">
        <v>54</v>
      </c>
      <c r="D110" s="79" t="s">
        <v>173</v>
      </c>
      <c r="E110" s="78" t="s">
        <v>329</v>
      </c>
      <c r="F110" s="80">
        <v>6</v>
      </c>
      <c r="G110" s="80" t="s">
        <v>46</v>
      </c>
      <c r="H110" s="101">
        <v>244522</v>
      </c>
      <c r="I110" s="78" t="s">
        <v>158</v>
      </c>
      <c r="J110" s="82" t="s">
        <v>70</v>
      </c>
      <c r="K110" s="101"/>
      <c r="L110" s="102"/>
      <c r="M110" s="103"/>
    </row>
    <row r="111" spans="1:13">
      <c r="A111" s="78">
        <v>30</v>
      </c>
      <c r="B111" s="78" t="s">
        <v>229</v>
      </c>
      <c r="C111" s="78" t="s">
        <v>54</v>
      </c>
      <c r="D111" s="79" t="s">
        <v>173</v>
      </c>
      <c r="E111" s="78" t="s">
        <v>330</v>
      </c>
      <c r="F111" s="80">
        <v>6</v>
      </c>
      <c r="G111" s="80" t="s">
        <v>46</v>
      </c>
      <c r="H111" s="101">
        <v>244522</v>
      </c>
      <c r="I111" s="78" t="s">
        <v>331</v>
      </c>
      <c r="J111" s="82" t="s">
        <v>68</v>
      </c>
      <c r="K111" s="101">
        <v>244524</v>
      </c>
      <c r="L111" s="102">
        <v>4</v>
      </c>
      <c r="M111" s="103"/>
    </row>
    <row r="112" spans="1:13">
      <c r="A112" s="78">
        <v>31</v>
      </c>
      <c r="B112" s="78" t="s">
        <v>244</v>
      </c>
      <c r="C112" s="78" t="s">
        <v>54</v>
      </c>
      <c r="D112" s="79" t="s">
        <v>173</v>
      </c>
      <c r="E112" s="78" t="s">
        <v>332</v>
      </c>
      <c r="F112" s="80">
        <v>8</v>
      </c>
      <c r="G112" s="80" t="s">
        <v>46</v>
      </c>
      <c r="H112" s="101">
        <v>244523</v>
      </c>
      <c r="I112" s="78" t="s">
        <v>124</v>
      </c>
      <c r="J112" s="82" t="s">
        <v>68</v>
      </c>
      <c r="K112" s="101">
        <v>244528</v>
      </c>
      <c r="L112" s="102">
        <v>4</v>
      </c>
      <c r="M112" s="103"/>
    </row>
    <row r="113" spans="1:13">
      <c r="A113" s="78">
        <v>32</v>
      </c>
      <c r="B113" s="78" t="s">
        <v>234</v>
      </c>
      <c r="C113" s="78" t="s">
        <v>54</v>
      </c>
      <c r="D113" s="79" t="s">
        <v>175</v>
      </c>
      <c r="E113" s="78" t="s">
        <v>333</v>
      </c>
      <c r="F113" s="80">
        <v>5</v>
      </c>
      <c r="G113" s="80" t="s">
        <v>45</v>
      </c>
      <c r="H113" s="101">
        <v>244524</v>
      </c>
      <c r="I113" s="78" t="s">
        <v>334</v>
      </c>
      <c r="J113" s="82" t="s">
        <v>68</v>
      </c>
      <c r="K113" s="101">
        <v>244528</v>
      </c>
      <c r="L113" s="102">
        <v>4</v>
      </c>
      <c r="M113" s="103"/>
    </row>
    <row r="114" spans="1:13">
      <c r="A114" s="78">
        <v>33</v>
      </c>
      <c r="B114" s="78" t="s">
        <v>335</v>
      </c>
      <c r="C114" s="78" t="s">
        <v>54</v>
      </c>
      <c r="D114" s="79" t="s">
        <v>175</v>
      </c>
      <c r="E114" s="78" t="s">
        <v>336</v>
      </c>
      <c r="F114" s="80">
        <v>12</v>
      </c>
      <c r="G114" s="80" t="s">
        <v>51</v>
      </c>
      <c r="H114" s="101">
        <v>244524</v>
      </c>
      <c r="I114" s="78"/>
      <c r="J114" s="82" t="s">
        <v>68</v>
      </c>
      <c r="K114" s="101">
        <v>244528</v>
      </c>
      <c r="L114" s="102">
        <v>4</v>
      </c>
      <c r="M114" s="103"/>
    </row>
    <row r="115" spans="1:13">
      <c r="A115" s="78">
        <v>34</v>
      </c>
      <c r="B115" s="78" t="s">
        <v>335</v>
      </c>
      <c r="C115" s="78" t="s">
        <v>54</v>
      </c>
      <c r="D115" s="79" t="s">
        <v>173</v>
      </c>
      <c r="E115" s="78" t="s">
        <v>337</v>
      </c>
      <c r="F115" s="80">
        <v>10</v>
      </c>
      <c r="G115" s="80" t="s">
        <v>51</v>
      </c>
      <c r="H115" s="101">
        <v>244524</v>
      </c>
      <c r="I115" s="78"/>
      <c r="J115" s="82" t="s">
        <v>70</v>
      </c>
      <c r="K115" s="101"/>
      <c r="L115" s="102"/>
      <c r="M115" s="103"/>
    </row>
    <row r="116" spans="1:13">
      <c r="A116" s="78">
        <v>35</v>
      </c>
      <c r="B116" s="78" t="s">
        <v>335</v>
      </c>
      <c r="C116" s="78" t="s">
        <v>54</v>
      </c>
      <c r="D116" s="79" t="s">
        <v>173</v>
      </c>
      <c r="E116" s="78" t="s">
        <v>338</v>
      </c>
      <c r="F116" s="80">
        <v>10</v>
      </c>
      <c r="G116" s="80" t="s">
        <v>52</v>
      </c>
      <c r="H116" s="101">
        <v>244524</v>
      </c>
      <c r="I116" s="78"/>
      <c r="J116" s="82" t="s">
        <v>68</v>
      </c>
      <c r="K116" s="101">
        <v>244528</v>
      </c>
      <c r="L116" s="102">
        <v>4</v>
      </c>
      <c r="M116" s="103"/>
    </row>
    <row r="117" spans="1:13">
      <c r="A117" s="78">
        <v>36</v>
      </c>
      <c r="B117" s="78" t="s">
        <v>244</v>
      </c>
      <c r="C117" s="78" t="s">
        <v>54</v>
      </c>
      <c r="D117" s="79" t="s">
        <v>173</v>
      </c>
      <c r="E117" s="78" t="s">
        <v>339</v>
      </c>
      <c r="F117" s="80">
        <v>7</v>
      </c>
      <c r="G117" s="80" t="s">
        <v>46</v>
      </c>
      <c r="H117" s="101">
        <v>244525</v>
      </c>
      <c r="I117" s="78" t="s">
        <v>148</v>
      </c>
      <c r="J117" s="82" t="s">
        <v>68</v>
      </c>
      <c r="K117" s="101">
        <v>244526</v>
      </c>
      <c r="L117" s="102">
        <v>4</v>
      </c>
      <c r="M117" s="103"/>
    </row>
    <row r="118" spans="1:13">
      <c r="A118" s="78">
        <v>37</v>
      </c>
      <c r="B118" s="78" t="s">
        <v>244</v>
      </c>
      <c r="C118" s="78" t="s">
        <v>54</v>
      </c>
      <c r="D118" s="79" t="s">
        <v>173</v>
      </c>
      <c r="E118" s="78" t="s">
        <v>340</v>
      </c>
      <c r="F118" s="80">
        <v>8</v>
      </c>
      <c r="G118" s="80" t="s">
        <v>46</v>
      </c>
      <c r="H118" s="101">
        <v>244525</v>
      </c>
      <c r="I118" s="78" t="s">
        <v>341</v>
      </c>
      <c r="J118" s="82" t="s">
        <v>68</v>
      </c>
      <c r="K118" s="101">
        <v>244528</v>
      </c>
      <c r="L118" s="102">
        <v>4</v>
      </c>
      <c r="M118" s="103"/>
    </row>
    <row r="119" spans="1:13">
      <c r="A119" s="78">
        <v>38</v>
      </c>
      <c r="B119" s="78" t="s">
        <v>283</v>
      </c>
      <c r="C119" s="78" t="s">
        <v>54</v>
      </c>
      <c r="D119" s="79" t="s">
        <v>173</v>
      </c>
      <c r="E119" s="78" t="s">
        <v>342</v>
      </c>
      <c r="F119" s="80">
        <v>10</v>
      </c>
      <c r="G119" s="80" t="s">
        <v>53</v>
      </c>
      <c r="H119" s="101">
        <v>244525</v>
      </c>
      <c r="I119" s="78" t="s">
        <v>343</v>
      </c>
      <c r="J119" s="82" t="s">
        <v>68</v>
      </c>
      <c r="K119" s="101">
        <v>244528</v>
      </c>
      <c r="L119" s="102">
        <v>4</v>
      </c>
      <c r="M119" s="103"/>
    </row>
    <row r="120" spans="1:13">
      <c r="A120" s="78">
        <v>39</v>
      </c>
      <c r="B120" s="78" t="s">
        <v>244</v>
      </c>
      <c r="C120" s="78" t="s">
        <v>54</v>
      </c>
      <c r="D120" s="79" t="s">
        <v>173</v>
      </c>
      <c r="E120" s="78" t="s">
        <v>344</v>
      </c>
      <c r="F120" s="80" t="s">
        <v>90</v>
      </c>
      <c r="G120" s="80" t="s">
        <v>53</v>
      </c>
      <c r="H120" s="101">
        <v>244524</v>
      </c>
      <c r="I120" s="78"/>
      <c r="J120" s="82" t="s">
        <v>68</v>
      </c>
      <c r="K120" s="101">
        <v>244525</v>
      </c>
      <c r="L120" s="102">
        <v>4</v>
      </c>
      <c r="M120" s="103"/>
    </row>
    <row r="121" spans="1:13">
      <c r="A121" s="78">
        <v>40</v>
      </c>
      <c r="B121" s="78" t="s">
        <v>244</v>
      </c>
      <c r="C121" s="78" t="s">
        <v>54</v>
      </c>
      <c r="D121" s="79" t="s">
        <v>173</v>
      </c>
      <c r="E121" s="78" t="s">
        <v>345</v>
      </c>
      <c r="F121" s="80" t="s">
        <v>90</v>
      </c>
      <c r="G121" s="80" t="s">
        <v>53</v>
      </c>
      <c r="H121" s="101">
        <v>244524</v>
      </c>
      <c r="I121" s="78" t="s">
        <v>346</v>
      </c>
      <c r="J121" s="82" t="s">
        <v>68</v>
      </c>
      <c r="K121" s="101">
        <v>244525</v>
      </c>
      <c r="L121" s="102">
        <v>4</v>
      </c>
      <c r="M121" s="103"/>
    </row>
    <row r="122" spans="1:13">
      <c r="A122" s="78">
        <v>41</v>
      </c>
      <c r="B122" s="78" t="s">
        <v>244</v>
      </c>
      <c r="C122" s="78" t="s">
        <v>54</v>
      </c>
      <c r="D122" s="79" t="s">
        <v>173</v>
      </c>
      <c r="E122" s="78" t="s">
        <v>347</v>
      </c>
      <c r="F122" s="80">
        <v>5</v>
      </c>
      <c r="G122" s="80" t="s">
        <v>53</v>
      </c>
      <c r="H122" s="101">
        <v>244524</v>
      </c>
      <c r="I122" s="78" t="s">
        <v>346</v>
      </c>
      <c r="J122" s="82" t="s">
        <v>68</v>
      </c>
      <c r="K122" s="101">
        <v>244525</v>
      </c>
      <c r="L122" s="102">
        <v>4</v>
      </c>
      <c r="M122" s="103"/>
    </row>
    <row r="123" spans="1:13">
      <c r="A123" s="78">
        <v>42</v>
      </c>
      <c r="B123" s="78" t="s">
        <v>244</v>
      </c>
      <c r="C123" s="78" t="s">
        <v>54</v>
      </c>
      <c r="D123" s="79" t="s">
        <v>173</v>
      </c>
      <c r="E123" s="78" t="s">
        <v>348</v>
      </c>
      <c r="F123" s="80" t="s">
        <v>90</v>
      </c>
      <c r="G123" s="80" t="s">
        <v>53</v>
      </c>
      <c r="H123" s="101">
        <v>244524</v>
      </c>
      <c r="I123" s="78" t="s">
        <v>349</v>
      </c>
      <c r="J123" s="82" t="s">
        <v>68</v>
      </c>
      <c r="K123" s="101">
        <v>244525</v>
      </c>
      <c r="L123" s="102">
        <v>4</v>
      </c>
      <c r="M123" s="103"/>
    </row>
    <row r="124" spans="1:13">
      <c r="A124" s="78">
        <v>43</v>
      </c>
      <c r="B124" s="78" t="s">
        <v>244</v>
      </c>
      <c r="C124" s="78" t="s">
        <v>54</v>
      </c>
      <c r="D124" s="79" t="s">
        <v>173</v>
      </c>
      <c r="E124" s="78" t="s">
        <v>350</v>
      </c>
      <c r="F124" s="80" t="s">
        <v>90</v>
      </c>
      <c r="G124" s="80" t="s">
        <v>53</v>
      </c>
      <c r="H124" s="101">
        <v>244524</v>
      </c>
      <c r="I124" s="78" t="s">
        <v>351</v>
      </c>
      <c r="J124" s="82" t="s">
        <v>68</v>
      </c>
      <c r="K124" s="101">
        <v>244525</v>
      </c>
      <c r="L124" s="102">
        <v>4</v>
      </c>
      <c r="M124" s="103"/>
    </row>
    <row r="125" spans="1:13">
      <c r="A125" s="78">
        <v>44</v>
      </c>
      <c r="B125" s="78" t="s">
        <v>234</v>
      </c>
      <c r="C125" s="78" t="s">
        <v>54</v>
      </c>
      <c r="D125" s="79" t="s">
        <v>175</v>
      </c>
      <c r="E125" s="78" t="s">
        <v>352</v>
      </c>
      <c r="F125" s="80">
        <v>14</v>
      </c>
      <c r="G125" s="80" t="s">
        <v>72</v>
      </c>
      <c r="H125" s="101">
        <v>244525</v>
      </c>
      <c r="I125" s="78" t="s">
        <v>353</v>
      </c>
      <c r="J125" s="82" t="s">
        <v>68</v>
      </c>
      <c r="K125" s="101">
        <v>244525</v>
      </c>
      <c r="L125" s="102">
        <v>4</v>
      </c>
      <c r="M125" s="103"/>
    </row>
    <row r="126" spans="1:13">
      <c r="A126" s="78">
        <v>45</v>
      </c>
      <c r="B126" s="78" t="s">
        <v>234</v>
      </c>
      <c r="C126" s="78" t="s">
        <v>54</v>
      </c>
      <c r="D126" s="79" t="s">
        <v>175</v>
      </c>
      <c r="E126" s="78" t="s">
        <v>354</v>
      </c>
      <c r="F126" s="80">
        <v>5</v>
      </c>
      <c r="G126" s="80" t="s">
        <v>45</v>
      </c>
      <c r="H126" s="101">
        <v>244527</v>
      </c>
      <c r="I126" s="78" t="s">
        <v>131</v>
      </c>
      <c r="J126" s="82" t="s">
        <v>68</v>
      </c>
      <c r="K126" s="101">
        <v>244534</v>
      </c>
      <c r="L126" s="102">
        <v>1</v>
      </c>
      <c r="M126" s="103"/>
    </row>
    <row r="127" spans="1:13">
      <c r="A127" s="78">
        <v>46</v>
      </c>
      <c r="B127" s="92" t="s">
        <v>355</v>
      </c>
      <c r="C127" s="92" t="s">
        <v>54</v>
      </c>
      <c r="D127" s="114" t="s">
        <v>173</v>
      </c>
      <c r="E127" s="92" t="s">
        <v>356</v>
      </c>
      <c r="F127" s="93" t="s">
        <v>90</v>
      </c>
      <c r="G127" s="93" t="s">
        <v>72</v>
      </c>
      <c r="H127" s="101">
        <v>244527</v>
      </c>
      <c r="I127" s="92" t="s">
        <v>358</v>
      </c>
      <c r="J127" s="82" t="s">
        <v>68</v>
      </c>
      <c r="K127" s="101">
        <v>244528</v>
      </c>
      <c r="L127" s="102">
        <v>4</v>
      </c>
      <c r="M127" s="103"/>
    </row>
    <row r="128" spans="1:13">
      <c r="A128" s="78">
        <v>47</v>
      </c>
      <c r="B128" s="78" t="s">
        <v>56</v>
      </c>
      <c r="C128" s="78" t="s">
        <v>56</v>
      </c>
      <c r="D128" s="79" t="s">
        <v>175</v>
      </c>
      <c r="E128" s="92" t="s">
        <v>359</v>
      </c>
      <c r="F128" s="93" t="s">
        <v>90</v>
      </c>
      <c r="G128" s="93" t="s">
        <v>53</v>
      </c>
      <c r="H128" s="101">
        <v>244529</v>
      </c>
      <c r="I128" s="78" t="s">
        <v>360</v>
      </c>
      <c r="J128" s="82" t="s">
        <v>70</v>
      </c>
      <c r="K128" s="101"/>
      <c r="L128" s="102"/>
      <c r="M128" s="103"/>
    </row>
    <row r="129" spans="1:14">
      <c r="A129" s="78">
        <v>48</v>
      </c>
      <c r="B129" s="92" t="s">
        <v>289</v>
      </c>
      <c r="C129" s="92" t="s">
        <v>54</v>
      </c>
      <c r="D129" s="114" t="s">
        <v>175</v>
      </c>
      <c r="E129" s="92" t="s">
        <v>361</v>
      </c>
      <c r="F129" s="93">
        <v>12</v>
      </c>
      <c r="G129" s="93" t="s">
        <v>51</v>
      </c>
      <c r="H129" s="101">
        <v>244528</v>
      </c>
      <c r="I129" s="92" t="s">
        <v>183</v>
      </c>
      <c r="J129" s="82" t="s">
        <v>68</v>
      </c>
      <c r="K129" s="101">
        <v>244528</v>
      </c>
      <c r="L129" s="102">
        <v>4</v>
      </c>
      <c r="M129" s="103"/>
    </row>
    <row r="130" spans="1:14" ht="30" customHeight="1">
      <c r="A130" s="320"/>
      <c r="B130" s="321" t="s">
        <v>165</v>
      </c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</row>
    <row r="131" spans="1:14" ht="30" customHeight="1">
      <c r="A131" s="320"/>
      <c r="B131" s="325" t="s">
        <v>362</v>
      </c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</row>
    <row r="132" spans="1:14" s="66" customFormat="1" ht="25.05" customHeight="1">
      <c r="A132" s="134" t="s">
        <v>75</v>
      </c>
      <c r="B132" s="134" t="s">
        <v>215</v>
      </c>
      <c r="C132" s="134" t="s">
        <v>76</v>
      </c>
      <c r="D132" s="134" t="s">
        <v>169</v>
      </c>
      <c r="E132" s="134" t="s">
        <v>170</v>
      </c>
      <c r="F132" s="134" t="s">
        <v>77</v>
      </c>
      <c r="G132" s="134" t="s">
        <v>74</v>
      </c>
      <c r="H132" s="135" t="s">
        <v>171</v>
      </c>
      <c r="I132" s="134" t="s">
        <v>110</v>
      </c>
      <c r="J132" s="197" t="s">
        <v>78</v>
      </c>
      <c r="K132" s="136" t="s">
        <v>172</v>
      </c>
      <c r="L132" s="135" t="s">
        <v>111</v>
      </c>
      <c r="M132" s="199" t="s">
        <v>419</v>
      </c>
      <c r="N132" s="135" t="s">
        <v>363</v>
      </c>
    </row>
    <row r="133" spans="1:14">
      <c r="A133" s="107">
        <v>1</v>
      </c>
      <c r="B133" s="107" t="s">
        <v>364</v>
      </c>
      <c r="C133" s="107" t="s">
        <v>61</v>
      </c>
      <c r="D133" s="116" t="s">
        <v>175</v>
      </c>
      <c r="E133" s="107" t="s">
        <v>365</v>
      </c>
      <c r="F133" s="102">
        <v>4</v>
      </c>
      <c r="G133" s="102" t="s">
        <v>51</v>
      </c>
      <c r="H133" s="108">
        <v>244531</v>
      </c>
      <c r="I133" s="107" t="s">
        <v>366</v>
      </c>
      <c r="J133" s="102" t="s">
        <v>86</v>
      </c>
      <c r="K133" s="109" t="s">
        <v>70</v>
      </c>
      <c r="L133" s="108"/>
      <c r="M133" s="102"/>
      <c r="N133" s="102">
        <v>1</v>
      </c>
    </row>
    <row r="134" spans="1:14">
      <c r="A134" s="107">
        <v>2</v>
      </c>
      <c r="B134" s="107" t="s">
        <v>56</v>
      </c>
      <c r="C134" s="107" t="s">
        <v>56</v>
      </c>
      <c r="D134" s="116" t="s">
        <v>175</v>
      </c>
      <c r="E134" s="182" t="s">
        <v>359</v>
      </c>
      <c r="F134" s="102" t="s">
        <v>90</v>
      </c>
      <c r="G134" s="102" t="s">
        <v>53</v>
      </c>
      <c r="H134" s="108">
        <v>244529</v>
      </c>
      <c r="I134" s="107" t="s">
        <v>360</v>
      </c>
      <c r="J134" s="102" t="s">
        <v>86</v>
      </c>
      <c r="K134" s="109" t="s">
        <v>68</v>
      </c>
      <c r="L134" s="108">
        <v>244535</v>
      </c>
      <c r="M134" s="102">
        <v>1</v>
      </c>
      <c r="N134" s="102">
        <v>1</v>
      </c>
    </row>
    <row r="135" spans="1:14">
      <c r="A135" s="107">
        <v>3</v>
      </c>
      <c r="B135" s="107" t="s">
        <v>286</v>
      </c>
      <c r="C135" s="107" t="s">
        <v>54</v>
      </c>
      <c r="D135" s="116" t="s">
        <v>175</v>
      </c>
      <c r="E135" s="107" t="s">
        <v>287</v>
      </c>
      <c r="F135" s="102"/>
      <c r="G135" s="102" t="s">
        <v>52</v>
      </c>
      <c r="H135" s="108">
        <v>244505</v>
      </c>
      <c r="I135" s="107" t="s">
        <v>288</v>
      </c>
      <c r="J135" s="102" t="s">
        <v>86</v>
      </c>
      <c r="K135" s="109" t="s">
        <v>70</v>
      </c>
      <c r="L135" s="108"/>
      <c r="M135" s="102"/>
      <c r="N135" s="102">
        <v>1</v>
      </c>
    </row>
    <row r="136" spans="1:14">
      <c r="A136" s="107">
        <v>4</v>
      </c>
      <c r="B136" s="107" t="s">
        <v>299</v>
      </c>
      <c r="C136" s="107" t="s">
        <v>54</v>
      </c>
      <c r="D136" s="116" t="s">
        <v>175</v>
      </c>
      <c r="E136" s="107" t="s">
        <v>300</v>
      </c>
      <c r="F136" s="102" t="s">
        <v>90</v>
      </c>
      <c r="G136" s="102" t="s">
        <v>47</v>
      </c>
      <c r="H136" s="108">
        <v>244511</v>
      </c>
      <c r="I136" s="107" t="s">
        <v>301</v>
      </c>
      <c r="J136" s="102" t="s">
        <v>86</v>
      </c>
      <c r="K136" s="109" t="s">
        <v>70</v>
      </c>
      <c r="L136" s="108"/>
      <c r="M136" s="102"/>
      <c r="N136" s="102">
        <v>1</v>
      </c>
    </row>
    <row r="137" spans="1:14">
      <c r="A137" s="107">
        <v>5</v>
      </c>
      <c r="B137" s="107" t="s">
        <v>286</v>
      </c>
      <c r="C137" s="107" t="s">
        <v>54</v>
      </c>
      <c r="D137" s="116" t="s">
        <v>175</v>
      </c>
      <c r="E137" s="107" t="s">
        <v>302</v>
      </c>
      <c r="F137" s="102" t="s">
        <v>107</v>
      </c>
      <c r="G137" s="102" t="s">
        <v>52</v>
      </c>
      <c r="H137" s="108">
        <v>244512</v>
      </c>
      <c r="I137" s="107" t="s">
        <v>303</v>
      </c>
      <c r="J137" s="102" t="s">
        <v>86</v>
      </c>
      <c r="K137" s="109" t="s">
        <v>70</v>
      </c>
      <c r="L137" s="108"/>
      <c r="M137" s="102"/>
      <c r="N137" s="102">
        <v>1</v>
      </c>
    </row>
    <row r="138" spans="1:14">
      <c r="A138" s="107">
        <v>6</v>
      </c>
      <c r="B138" s="107" t="s">
        <v>286</v>
      </c>
      <c r="C138" s="107" t="s">
        <v>54</v>
      </c>
      <c r="D138" s="116" t="s">
        <v>175</v>
      </c>
      <c r="E138" s="107" t="s">
        <v>304</v>
      </c>
      <c r="F138" s="102" t="s">
        <v>107</v>
      </c>
      <c r="G138" s="102" t="s">
        <v>72</v>
      </c>
      <c r="H138" s="108">
        <v>244512</v>
      </c>
      <c r="I138" s="107" t="s">
        <v>305</v>
      </c>
      <c r="J138" s="102" t="s">
        <v>86</v>
      </c>
      <c r="K138" s="109" t="s">
        <v>70</v>
      </c>
      <c r="L138" s="108"/>
      <c r="M138" s="102"/>
      <c r="N138" s="102">
        <v>1</v>
      </c>
    </row>
    <row r="139" spans="1:14">
      <c r="A139" s="107">
        <v>7</v>
      </c>
      <c r="B139" s="107" t="s">
        <v>234</v>
      </c>
      <c r="C139" s="107" t="s">
        <v>54</v>
      </c>
      <c r="D139" s="116" t="s">
        <v>173</v>
      </c>
      <c r="E139" s="107" t="s">
        <v>306</v>
      </c>
      <c r="F139" s="102" t="s">
        <v>107</v>
      </c>
      <c r="G139" s="102" t="s">
        <v>72</v>
      </c>
      <c r="H139" s="108">
        <v>244512</v>
      </c>
      <c r="I139" s="107" t="s">
        <v>305</v>
      </c>
      <c r="J139" s="102" t="s">
        <v>86</v>
      </c>
      <c r="K139" s="109" t="s">
        <v>70</v>
      </c>
      <c r="L139" s="108"/>
      <c r="M139" s="102"/>
      <c r="N139" s="102">
        <v>1</v>
      </c>
    </row>
    <row r="140" spans="1:14">
      <c r="A140" s="107">
        <v>8</v>
      </c>
      <c r="B140" s="183" t="s">
        <v>234</v>
      </c>
      <c r="C140" s="183" t="s">
        <v>54</v>
      </c>
      <c r="D140" s="184" t="s">
        <v>175</v>
      </c>
      <c r="E140" s="183" t="s">
        <v>294</v>
      </c>
      <c r="F140" s="132">
        <v>15</v>
      </c>
      <c r="G140" s="132" t="s">
        <v>46</v>
      </c>
      <c r="H140" s="185">
        <v>244509</v>
      </c>
      <c r="I140" s="183" t="s">
        <v>311</v>
      </c>
      <c r="J140" s="132" t="s">
        <v>81</v>
      </c>
      <c r="K140" s="109" t="s">
        <v>70</v>
      </c>
      <c r="L140" s="108"/>
      <c r="M140" s="102"/>
      <c r="N140" s="102">
        <v>1</v>
      </c>
    </row>
    <row r="141" spans="1:14">
      <c r="A141" s="107">
        <v>9</v>
      </c>
      <c r="B141" s="107" t="s">
        <v>323</v>
      </c>
      <c r="C141" s="107" t="s">
        <v>54</v>
      </c>
      <c r="D141" s="116" t="s">
        <v>175</v>
      </c>
      <c r="E141" s="107" t="s">
        <v>324</v>
      </c>
      <c r="F141" s="102">
        <v>15</v>
      </c>
      <c r="G141" s="102" t="s">
        <v>117</v>
      </c>
      <c r="H141" s="108">
        <v>244517</v>
      </c>
      <c r="I141" s="107" t="s">
        <v>325</v>
      </c>
      <c r="J141" s="102" t="s">
        <v>81</v>
      </c>
      <c r="K141" s="109" t="s">
        <v>70</v>
      </c>
      <c r="L141" s="108"/>
      <c r="M141" s="102"/>
      <c r="N141" s="102">
        <v>1</v>
      </c>
    </row>
    <row r="142" spans="1:14">
      <c r="A142" s="107">
        <v>10</v>
      </c>
      <c r="B142" s="107" t="s">
        <v>229</v>
      </c>
      <c r="C142" s="107" t="s">
        <v>54</v>
      </c>
      <c r="D142" s="116" t="s">
        <v>173</v>
      </c>
      <c r="E142" s="107" t="s">
        <v>329</v>
      </c>
      <c r="F142" s="102">
        <v>6</v>
      </c>
      <c r="G142" s="102" t="s">
        <v>46</v>
      </c>
      <c r="H142" s="108">
        <v>244522</v>
      </c>
      <c r="I142" s="107" t="s">
        <v>158</v>
      </c>
      <c r="J142" s="102" t="s">
        <v>81</v>
      </c>
      <c r="K142" s="109" t="s">
        <v>70</v>
      </c>
      <c r="L142" s="108"/>
      <c r="M142" s="102"/>
      <c r="N142" s="102">
        <v>1</v>
      </c>
    </row>
    <row r="143" spans="1:14">
      <c r="A143" s="107">
        <v>11</v>
      </c>
      <c r="B143" s="107" t="s">
        <v>335</v>
      </c>
      <c r="C143" s="107" t="s">
        <v>54</v>
      </c>
      <c r="D143" s="116" t="s">
        <v>173</v>
      </c>
      <c r="E143" s="107" t="s">
        <v>337</v>
      </c>
      <c r="F143" s="102">
        <v>10</v>
      </c>
      <c r="G143" s="102" t="s">
        <v>51</v>
      </c>
      <c r="H143" s="108">
        <v>244524</v>
      </c>
      <c r="I143" s="107"/>
      <c r="J143" s="102" t="s">
        <v>86</v>
      </c>
      <c r="K143" s="109" t="s">
        <v>70</v>
      </c>
      <c r="L143" s="108"/>
      <c r="M143" s="102"/>
      <c r="N143" s="102">
        <v>1</v>
      </c>
    </row>
    <row r="144" spans="1:14">
      <c r="A144" s="107">
        <v>12</v>
      </c>
      <c r="B144" s="182" t="s">
        <v>244</v>
      </c>
      <c r="C144" s="107" t="s">
        <v>54</v>
      </c>
      <c r="D144" s="116" t="s">
        <v>173</v>
      </c>
      <c r="E144" s="182" t="s">
        <v>374</v>
      </c>
      <c r="F144" s="102">
        <v>5</v>
      </c>
      <c r="G144" s="102" t="s">
        <v>46</v>
      </c>
      <c r="H144" s="108">
        <v>244502</v>
      </c>
      <c r="I144" s="107"/>
      <c r="J144" s="102" t="s">
        <v>81</v>
      </c>
      <c r="K144" s="109" t="s">
        <v>68</v>
      </c>
      <c r="L144" s="108">
        <v>244548</v>
      </c>
      <c r="M144" s="102">
        <v>3</v>
      </c>
      <c r="N144" s="102">
        <v>1</v>
      </c>
    </row>
    <row r="145" spans="1:14">
      <c r="A145" s="107">
        <v>13</v>
      </c>
      <c r="B145" s="182" t="s">
        <v>114</v>
      </c>
      <c r="C145" s="107" t="s">
        <v>54</v>
      </c>
      <c r="D145" s="116" t="s">
        <v>175</v>
      </c>
      <c r="E145" s="182" t="s">
        <v>375</v>
      </c>
      <c r="F145" s="102"/>
      <c r="G145" s="102" t="s">
        <v>376</v>
      </c>
      <c r="H145" s="108">
        <v>244531</v>
      </c>
      <c r="I145" s="107"/>
      <c r="J145" s="102" t="s">
        <v>81</v>
      </c>
      <c r="K145" s="109" t="s">
        <v>68</v>
      </c>
      <c r="L145" s="108">
        <v>244532</v>
      </c>
      <c r="M145" s="102">
        <v>1</v>
      </c>
      <c r="N145" s="102">
        <v>1</v>
      </c>
    </row>
    <row r="146" spans="1:14">
      <c r="A146" s="107">
        <v>14</v>
      </c>
      <c r="B146" s="182" t="s">
        <v>114</v>
      </c>
      <c r="C146" s="107" t="s">
        <v>54</v>
      </c>
      <c r="D146" s="116" t="s">
        <v>175</v>
      </c>
      <c r="E146" s="182" t="s">
        <v>377</v>
      </c>
      <c r="F146" s="102"/>
      <c r="G146" s="102" t="s">
        <v>376</v>
      </c>
      <c r="H146" s="108">
        <v>244531</v>
      </c>
      <c r="I146" s="107"/>
      <c r="J146" s="102" t="s">
        <v>81</v>
      </c>
      <c r="K146" s="109" t="s">
        <v>68</v>
      </c>
      <c r="L146" s="108">
        <v>244532</v>
      </c>
      <c r="M146" s="102">
        <v>1</v>
      </c>
      <c r="N146" s="102">
        <v>1</v>
      </c>
    </row>
    <row r="147" spans="1:14">
      <c r="A147" s="107">
        <v>15</v>
      </c>
      <c r="B147" s="182" t="s">
        <v>378</v>
      </c>
      <c r="C147" s="107" t="s">
        <v>54</v>
      </c>
      <c r="D147" s="116" t="s">
        <v>173</v>
      </c>
      <c r="E147" s="182" t="s">
        <v>379</v>
      </c>
      <c r="F147" s="102">
        <v>5</v>
      </c>
      <c r="G147" s="102" t="s">
        <v>51</v>
      </c>
      <c r="H147" s="108">
        <v>244532</v>
      </c>
      <c r="I147" s="107"/>
      <c r="J147" s="102" t="s">
        <v>81</v>
      </c>
      <c r="K147" s="109" t="s">
        <v>68</v>
      </c>
      <c r="L147" s="108">
        <v>244548</v>
      </c>
      <c r="M147" s="102">
        <v>3</v>
      </c>
      <c r="N147" s="102">
        <v>1</v>
      </c>
    </row>
    <row r="148" spans="1:14">
      <c r="A148" s="107">
        <v>16</v>
      </c>
      <c r="B148" s="182" t="s">
        <v>380</v>
      </c>
      <c r="C148" s="107" t="s">
        <v>54</v>
      </c>
      <c r="D148" s="116" t="s">
        <v>173</v>
      </c>
      <c r="E148" s="182" t="s">
        <v>381</v>
      </c>
      <c r="F148" s="102" t="s">
        <v>107</v>
      </c>
      <c r="G148" s="102" t="s">
        <v>52</v>
      </c>
      <c r="H148" s="108">
        <v>244533</v>
      </c>
      <c r="I148" s="107"/>
      <c r="J148" s="102" t="s">
        <v>81</v>
      </c>
      <c r="K148" s="109" t="s">
        <v>68</v>
      </c>
      <c r="L148" s="108">
        <v>244534</v>
      </c>
      <c r="M148" s="102">
        <v>1</v>
      </c>
      <c r="N148" s="102">
        <v>1</v>
      </c>
    </row>
    <row r="149" spans="1:14">
      <c r="A149" s="107">
        <v>17</v>
      </c>
      <c r="B149" s="182" t="s">
        <v>234</v>
      </c>
      <c r="C149" s="107" t="s">
        <v>54</v>
      </c>
      <c r="D149" s="116" t="s">
        <v>175</v>
      </c>
      <c r="E149" s="182" t="s">
        <v>354</v>
      </c>
      <c r="F149" s="102">
        <v>5</v>
      </c>
      <c r="G149" s="102" t="s">
        <v>45</v>
      </c>
      <c r="H149" s="108">
        <v>244527</v>
      </c>
      <c r="I149" s="107"/>
      <c r="J149" s="102" t="s">
        <v>81</v>
      </c>
      <c r="K149" s="109" t="s">
        <v>68</v>
      </c>
      <c r="L149" s="108">
        <v>244534</v>
      </c>
      <c r="M149" s="102">
        <v>1</v>
      </c>
      <c r="N149" s="102">
        <v>1</v>
      </c>
    </row>
    <row r="150" spans="1:14">
      <c r="A150" s="107">
        <v>18</v>
      </c>
      <c r="B150" s="182" t="s">
        <v>114</v>
      </c>
      <c r="C150" s="107" t="s">
        <v>54</v>
      </c>
      <c r="D150" s="116" t="s">
        <v>175</v>
      </c>
      <c r="E150" s="182" t="s">
        <v>382</v>
      </c>
      <c r="F150" s="102">
        <v>5</v>
      </c>
      <c r="G150" s="102" t="s">
        <v>45</v>
      </c>
      <c r="H150" s="108">
        <v>244534</v>
      </c>
      <c r="I150" s="107"/>
      <c r="J150" s="102" t="s">
        <v>81</v>
      </c>
      <c r="K150" s="109" t="s">
        <v>68</v>
      </c>
      <c r="L150" s="108">
        <v>244534</v>
      </c>
      <c r="M150" s="102">
        <v>1</v>
      </c>
      <c r="N150" s="102">
        <v>1</v>
      </c>
    </row>
    <row r="151" spans="1:14">
      <c r="A151" s="107">
        <v>19</v>
      </c>
      <c r="B151" s="182" t="s">
        <v>244</v>
      </c>
      <c r="C151" s="107" t="s">
        <v>54</v>
      </c>
      <c r="D151" s="116" t="s">
        <v>173</v>
      </c>
      <c r="E151" s="182" t="s">
        <v>383</v>
      </c>
      <c r="F151" s="102">
        <v>6</v>
      </c>
      <c r="G151" s="102" t="s">
        <v>45</v>
      </c>
      <c r="H151" s="108">
        <v>244534</v>
      </c>
      <c r="I151" s="107"/>
      <c r="J151" s="102" t="s">
        <v>81</v>
      </c>
      <c r="K151" s="109" t="s">
        <v>68</v>
      </c>
      <c r="L151" s="108">
        <v>244534</v>
      </c>
      <c r="M151" s="102">
        <v>1</v>
      </c>
      <c r="N151" s="102">
        <v>1</v>
      </c>
    </row>
    <row r="152" spans="1:14">
      <c r="A152" s="107">
        <v>20</v>
      </c>
      <c r="B152" s="182" t="s">
        <v>114</v>
      </c>
      <c r="C152" s="107" t="s">
        <v>54</v>
      </c>
      <c r="D152" s="116" t="s">
        <v>175</v>
      </c>
      <c r="E152" s="182" t="s">
        <v>384</v>
      </c>
      <c r="F152" s="102">
        <v>3</v>
      </c>
      <c r="G152" s="102" t="s">
        <v>45</v>
      </c>
      <c r="H152" s="108">
        <v>244534</v>
      </c>
      <c r="I152" s="107"/>
      <c r="J152" s="102" t="s">
        <v>81</v>
      </c>
      <c r="K152" s="109" t="s">
        <v>68</v>
      </c>
      <c r="L152" s="108">
        <v>244534</v>
      </c>
      <c r="M152" s="102">
        <v>1</v>
      </c>
      <c r="N152" s="102">
        <v>1</v>
      </c>
    </row>
    <row r="153" spans="1:14">
      <c r="A153" s="107">
        <v>21</v>
      </c>
      <c r="B153" s="182" t="s">
        <v>385</v>
      </c>
      <c r="C153" s="107" t="s">
        <v>54</v>
      </c>
      <c r="D153" s="116" t="s">
        <v>175</v>
      </c>
      <c r="E153" s="182" t="s">
        <v>386</v>
      </c>
      <c r="F153" s="102" t="s">
        <v>90</v>
      </c>
      <c r="G153" s="102" t="s">
        <v>52</v>
      </c>
      <c r="H153" s="108">
        <v>244534</v>
      </c>
      <c r="I153" s="107"/>
      <c r="J153" s="102" t="s">
        <v>81</v>
      </c>
      <c r="K153" s="109" t="s">
        <v>68</v>
      </c>
      <c r="L153" s="108">
        <v>244534</v>
      </c>
      <c r="M153" s="102">
        <v>1</v>
      </c>
      <c r="N153" s="102">
        <v>1</v>
      </c>
    </row>
    <row r="154" spans="1:14">
      <c r="A154" s="107">
        <v>22</v>
      </c>
      <c r="B154" s="182" t="s">
        <v>114</v>
      </c>
      <c r="C154" s="107" t="s">
        <v>54</v>
      </c>
      <c r="D154" s="116" t="s">
        <v>175</v>
      </c>
      <c r="E154" s="182" t="s">
        <v>387</v>
      </c>
      <c r="F154" s="102">
        <v>8</v>
      </c>
      <c r="G154" s="102" t="s">
        <v>46</v>
      </c>
      <c r="H154" s="108">
        <v>244535</v>
      </c>
      <c r="I154" s="107"/>
      <c r="J154" s="102" t="s">
        <v>81</v>
      </c>
      <c r="K154" s="109" t="s">
        <v>68</v>
      </c>
      <c r="L154" s="108">
        <v>244535</v>
      </c>
      <c r="M154" s="102">
        <v>1</v>
      </c>
      <c r="N154" s="102">
        <v>1</v>
      </c>
    </row>
    <row r="155" spans="1:14">
      <c r="A155" s="107">
        <v>23</v>
      </c>
      <c r="B155" s="182" t="s">
        <v>244</v>
      </c>
      <c r="C155" s="107" t="s">
        <v>54</v>
      </c>
      <c r="D155" s="116" t="s">
        <v>173</v>
      </c>
      <c r="E155" s="182" t="s">
        <v>388</v>
      </c>
      <c r="F155" s="102">
        <v>10</v>
      </c>
      <c r="G155" s="102" t="s">
        <v>53</v>
      </c>
      <c r="H155" s="108">
        <v>244536</v>
      </c>
      <c r="I155" s="107"/>
      <c r="J155" s="102" t="s">
        <v>81</v>
      </c>
      <c r="K155" s="109" t="s">
        <v>68</v>
      </c>
      <c r="L155" s="108">
        <v>25402</v>
      </c>
      <c r="M155" s="102">
        <v>3</v>
      </c>
      <c r="N155" s="102">
        <v>2</v>
      </c>
    </row>
    <row r="156" spans="1:14">
      <c r="A156" s="107">
        <v>24</v>
      </c>
      <c r="B156" s="182" t="s">
        <v>114</v>
      </c>
      <c r="C156" s="107" t="s">
        <v>54</v>
      </c>
      <c r="D156" s="116" t="s">
        <v>175</v>
      </c>
      <c r="E156" s="182" t="s">
        <v>389</v>
      </c>
      <c r="F156" s="102">
        <v>6</v>
      </c>
      <c r="G156" s="102" t="s">
        <v>46</v>
      </c>
      <c r="H156" s="108">
        <v>244531</v>
      </c>
      <c r="I156" s="107"/>
      <c r="J156" s="102" t="s">
        <v>81</v>
      </c>
      <c r="K156" s="109" t="s">
        <v>68</v>
      </c>
      <c r="L156" s="108">
        <v>244545</v>
      </c>
      <c r="M156" s="102">
        <v>3</v>
      </c>
      <c r="N156" s="102">
        <v>1</v>
      </c>
    </row>
    <row r="157" spans="1:14">
      <c r="A157" s="107">
        <v>25</v>
      </c>
      <c r="B157" s="182" t="s">
        <v>56</v>
      </c>
      <c r="C157" s="107" t="s">
        <v>56</v>
      </c>
      <c r="D157" s="116" t="s">
        <v>175</v>
      </c>
      <c r="E157" s="182" t="s">
        <v>390</v>
      </c>
      <c r="F157" s="102">
        <v>7</v>
      </c>
      <c r="G157" s="102" t="s">
        <v>46</v>
      </c>
      <c r="H157" s="108">
        <v>244537</v>
      </c>
      <c r="I157" s="107"/>
      <c r="J157" s="102" t="s">
        <v>81</v>
      </c>
      <c r="K157" s="109" t="s">
        <v>68</v>
      </c>
      <c r="L157" s="108">
        <v>244537</v>
      </c>
      <c r="M157" s="102">
        <v>2</v>
      </c>
      <c r="N157" s="102">
        <v>2</v>
      </c>
    </row>
    <row r="158" spans="1:14">
      <c r="A158" s="107">
        <v>26</v>
      </c>
      <c r="B158" s="182" t="s">
        <v>391</v>
      </c>
      <c r="C158" s="107" t="s">
        <v>54</v>
      </c>
      <c r="D158" s="116" t="s">
        <v>175</v>
      </c>
      <c r="E158" s="182" t="s">
        <v>392</v>
      </c>
      <c r="F158" s="102">
        <v>2</v>
      </c>
      <c r="G158" s="102" t="s">
        <v>48</v>
      </c>
      <c r="H158" s="108">
        <v>244538</v>
      </c>
      <c r="I158" s="107"/>
      <c r="J158" s="102" t="s">
        <v>81</v>
      </c>
      <c r="K158" s="109" t="s">
        <v>68</v>
      </c>
      <c r="L158" s="108">
        <v>244538</v>
      </c>
      <c r="M158" s="102">
        <v>2</v>
      </c>
      <c r="N158" s="102">
        <v>2</v>
      </c>
    </row>
    <row r="159" spans="1:14">
      <c r="A159" s="107">
        <v>27</v>
      </c>
      <c r="B159" s="182" t="s">
        <v>289</v>
      </c>
      <c r="C159" s="107" t="s">
        <v>54</v>
      </c>
      <c r="D159" s="116" t="s">
        <v>175</v>
      </c>
      <c r="E159" s="182" t="s">
        <v>393</v>
      </c>
      <c r="F159" s="102">
        <v>8</v>
      </c>
      <c r="G159" s="102" t="s">
        <v>46</v>
      </c>
      <c r="H159" s="108">
        <v>244538</v>
      </c>
      <c r="I159" s="107"/>
      <c r="J159" s="102" t="s">
        <v>81</v>
      </c>
      <c r="K159" s="109" t="s">
        <v>68</v>
      </c>
      <c r="L159" s="108">
        <v>244548</v>
      </c>
      <c r="M159" s="102">
        <v>3</v>
      </c>
      <c r="N159" s="102">
        <v>2</v>
      </c>
    </row>
    <row r="160" spans="1:14">
      <c r="A160" s="107">
        <v>28</v>
      </c>
      <c r="B160" s="182" t="s">
        <v>394</v>
      </c>
      <c r="C160" s="107" t="s">
        <v>54</v>
      </c>
      <c r="D160" s="116" t="s">
        <v>173</v>
      </c>
      <c r="E160" s="182" t="s">
        <v>395</v>
      </c>
      <c r="F160" s="102" t="s">
        <v>90</v>
      </c>
      <c r="G160" s="102" t="s">
        <v>47</v>
      </c>
      <c r="H160" s="108">
        <v>244538</v>
      </c>
      <c r="I160" s="107"/>
      <c r="J160" s="102" t="s">
        <v>81</v>
      </c>
      <c r="K160" s="109" t="s">
        <v>68</v>
      </c>
      <c r="L160" s="108">
        <v>244545</v>
      </c>
      <c r="M160" s="102">
        <v>3</v>
      </c>
      <c r="N160" s="102">
        <v>2</v>
      </c>
    </row>
    <row r="161" spans="1:14">
      <c r="A161" s="107">
        <v>29</v>
      </c>
      <c r="B161" s="182" t="s">
        <v>396</v>
      </c>
      <c r="C161" s="107" t="s">
        <v>55</v>
      </c>
      <c r="D161" s="116" t="s">
        <v>236</v>
      </c>
      <c r="E161" s="182" t="s">
        <v>397</v>
      </c>
      <c r="F161" s="102" t="s">
        <v>90</v>
      </c>
      <c r="G161" s="102" t="s">
        <v>46</v>
      </c>
      <c r="H161" s="108">
        <v>244540</v>
      </c>
      <c r="I161" s="107"/>
      <c r="J161" s="102" t="s">
        <v>81</v>
      </c>
      <c r="K161" s="109" t="s">
        <v>68</v>
      </c>
      <c r="L161" s="108">
        <v>244545</v>
      </c>
      <c r="M161" s="102">
        <v>3</v>
      </c>
      <c r="N161" s="102">
        <v>2</v>
      </c>
    </row>
    <row r="162" spans="1:14">
      <c r="A162" s="107">
        <v>30</v>
      </c>
      <c r="B162" s="182" t="s">
        <v>114</v>
      </c>
      <c r="C162" s="107" t="s">
        <v>54</v>
      </c>
      <c r="D162" s="116" t="s">
        <v>175</v>
      </c>
      <c r="E162" s="107" t="s">
        <v>157</v>
      </c>
      <c r="F162" s="102">
        <v>9</v>
      </c>
      <c r="G162" s="102" t="s">
        <v>47</v>
      </c>
      <c r="H162" s="108">
        <v>244542</v>
      </c>
      <c r="I162" s="107"/>
      <c r="J162" s="102" t="s">
        <v>81</v>
      </c>
      <c r="K162" s="109" t="s">
        <v>70</v>
      </c>
      <c r="L162" s="108"/>
      <c r="M162" s="102"/>
      <c r="N162" s="102">
        <v>2</v>
      </c>
    </row>
    <row r="163" spans="1:14">
      <c r="A163" s="107">
        <v>31</v>
      </c>
      <c r="B163" s="182" t="s">
        <v>114</v>
      </c>
      <c r="C163" s="107" t="s">
        <v>54</v>
      </c>
      <c r="D163" s="116" t="s">
        <v>175</v>
      </c>
      <c r="E163" s="107" t="s">
        <v>159</v>
      </c>
      <c r="F163" s="102">
        <v>5</v>
      </c>
      <c r="G163" s="102" t="s">
        <v>52</v>
      </c>
      <c r="H163" s="108">
        <v>244542</v>
      </c>
      <c r="I163" s="107"/>
      <c r="J163" s="102" t="s">
        <v>81</v>
      </c>
      <c r="K163" s="109" t="s">
        <v>70</v>
      </c>
      <c r="L163" s="108"/>
      <c r="M163" s="102"/>
      <c r="N163" s="102">
        <v>2</v>
      </c>
    </row>
    <row r="164" spans="1:14">
      <c r="A164" s="107">
        <v>32</v>
      </c>
      <c r="B164" s="182" t="s">
        <v>114</v>
      </c>
      <c r="C164" s="107" t="s">
        <v>54</v>
      </c>
      <c r="D164" s="116" t="s">
        <v>175</v>
      </c>
      <c r="E164" s="107" t="s">
        <v>160</v>
      </c>
      <c r="F164" s="102">
        <v>5</v>
      </c>
      <c r="G164" s="102" t="s">
        <v>51</v>
      </c>
      <c r="H164" s="108">
        <v>244542</v>
      </c>
      <c r="I164" s="107"/>
      <c r="J164" s="102" t="s">
        <v>86</v>
      </c>
      <c r="K164" s="109" t="s">
        <v>70</v>
      </c>
      <c r="L164" s="108"/>
      <c r="M164" s="102"/>
      <c r="N164" s="102">
        <v>2</v>
      </c>
    </row>
    <row r="165" spans="1:14">
      <c r="A165" s="107">
        <v>33</v>
      </c>
      <c r="B165" s="182" t="s">
        <v>114</v>
      </c>
      <c r="C165" s="107" t="s">
        <v>54</v>
      </c>
      <c r="D165" s="116" t="s">
        <v>175</v>
      </c>
      <c r="E165" s="107" t="s">
        <v>161</v>
      </c>
      <c r="F165" s="102">
        <v>4</v>
      </c>
      <c r="G165" s="102" t="s">
        <v>51</v>
      </c>
      <c r="H165" s="108">
        <v>244542</v>
      </c>
      <c r="I165" s="107"/>
      <c r="J165" s="102" t="s">
        <v>86</v>
      </c>
      <c r="K165" s="109" t="s">
        <v>70</v>
      </c>
      <c r="L165" s="108"/>
      <c r="M165" s="102"/>
      <c r="N165" s="102">
        <v>2</v>
      </c>
    </row>
    <row r="166" spans="1:14">
      <c r="A166" s="107">
        <v>34</v>
      </c>
      <c r="B166" s="182" t="s">
        <v>114</v>
      </c>
      <c r="C166" s="107" t="s">
        <v>120</v>
      </c>
      <c r="D166" s="116" t="s">
        <v>175</v>
      </c>
      <c r="E166" s="107" t="s">
        <v>115</v>
      </c>
      <c r="F166" s="102">
        <v>15</v>
      </c>
      <c r="G166" s="102" t="s">
        <v>49</v>
      </c>
      <c r="H166" s="108">
        <v>244542</v>
      </c>
      <c r="I166" s="107"/>
      <c r="J166" s="102" t="s">
        <v>81</v>
      </c>
      <c r="K166" s="109" t="s">
        <v>70</v>
      </c>
      <c r="L166" s="108"/>
      <c r="M166" s="102"/>
      <c r="N166" s="102">
        <v>2</v>
      </c>
    </row>
    <row r="167" spans="1:14">
      <c r="A167" s="107">
        <v>35</v>
      </c>
      <c r="B167" s="182" t="s">
        <v>114</v>
      </c>
      <c r="C167" s="107" t="s">
        <v>120</v>
      </c>
      <c r="D167" s="116" t="s">
        <v>175</v>
      </c>
      <c r="E167" s="107" t="s">
        <v>116</v>
      </c>
      <c r="F167" s="102">
        <v>6</v>
      </c>
      <c r="G167" s="102" t="s">
        <v>117</v>
      </c>
      <c r="H167" s="108">
        <v>244542</v>
      </c>
      <c r="I167" s="107"/>
      <c r="J167" s="102" t="s">
        <v>81</v>
      </c>
      <c r="K167" s="109" t="s">
        <v>70</v>
      </c>
      <c r="L167" s="108"/>
      <c r="M167" s="102"/>
      <c r="N167" s="102">
        <v>2</v>
      </c>
    </row>
    <row r="168" spans="1:14">
      <c r="A168" s="107">
        <v>36</v>
      </c>
      <c r="B168" s="182" t="s">
        <v>114</v>
      </c>
      <c r="C168" s="107" t="s">
        <v>54</v>
      </c>
      <c r="D168" s="116" t="s">
        <v>175</v>
      </c>
      <c r="E168" s="107" t="s">
        <v>123</v>
      </c>
      <c r="F168" s="102">
        <v>6</v>
      </c>
      <c r="G168" s="102" t="s">
        <v>47</v>
      </c>
      <c r="H168" s="108">
        <v>244542</v>
      </c>
      <c r="I168" s="107"/>
      <c r="J168" s="102" t="s">
        <v>81</v>
      </c>
      <c r="K168" s="109" t="s">
        <v>70</v>
      </c>
      <c r="L168" s="108"/>
      <c r="M168" s="102"/>
      <c r="N168" s="102">
        <v>2</v>
      </c>
    </row>
    <row r="169" spans="1:14">
      <c r="A169" s="107">
        <v>37</v>
      </c>
      <c r="B169" s="182" t="s">
        <v>323</v>
      </c>
      <c r="C169" s="107" t="s">
        <v>54</v>
      </c>
      <c r="D169" s="116" t="s">
        <v>173</v>
      </c>
      <c r="E169" s="182" t="s">
        <v>403</v>
      </c>
      <c r="F169" s="186" t="s">
        <v>90</v>
      </c>
      <c r="G169" s="102" t="s">
        <v>52</v>
      </c>
      <c r="H169" s="108">
        <v>244538</v>
      </c>
      <c r="I169" s="182" t="s">
        <v>407</v>
      </c>
      <c r="J169" s="186" t="s">
        <v>81</v>
      </c>
      <c r="K169" s="109" t="s">
        <v>68</v>
      </c>
      <c r="L169" s="108">
        <v>244542</v>
      </c>
      <c r="M169" s="102">
        <v>2</v>
      </c>
      <c r="N169" s="102">
        <v>2</v>
      </c>
    </row>
    <row r="170" spans="1:14">
      <c r="A170" s="107">
        <v>38</v>
      </c>
      <c r="B170" s="182" t="s">
        <v>404</v>
      </c>
      <c r="C170" s="107" t="s">
        <v>55</v>
      </c>
      <c r="D170" s="116" t="s">
        <v>175</v>
      </c>
      <c r="E170" s="182" t="s">
        <v>405</v>
      </c>
      <c r="F170" s="102">
        <v>12</v>
      </c>
      <c r="G170" s="102" t="s">
        <v>50</v>
      </c>
      <c r="H170" s="108">
        <v>244544</v>
      </c>
      <c r="I170" s="182" t="s">
        <v>406</v>
      </c>
      <c r="J170" s="186" t="s">
        <v>81</v>
      </c>
      <c r="K170" s="109" t="s">
        <v>68</v>
      </c>
      <c r="L170" s="108">
        <v>244544</v>
      </c>
      <c r="M170" s="102">
        <v>3</v>
      </c>
      <c r="N170" s="102">
        <v>3</v>
      </c>
    </row>
    <row r="171" spans="1:14">
      <c r="A171" s="107">
        <v>39</v>
      </c>
      <c r="B171" s="182" t="s">
        <v>114</v>
      </c>
      <c r="C171" s="107" t="s">
        <v>54</v>
      </c>
      <c r="D171" s="116" t="s">
        <v>175</v>
      </c>
      <c r="E171" s="107" t="s">
        <v>112</v>
      </c>
      <c r="F171" s="102" t="s">
        <v>90</v>
      </c>
      <c r="G171" s="102" t="s">
        <v>45</v>
      </c>
      <c r="H171" s="108"/>
      <c r="I171" s="107"/>
      <c r="J171" s="102" t="s">
        <v>81</v>
      </c>
      <c r="K171" s="109" t="s">
        <v>70</v>
      </c>
      <c r="L171" s="108"/>
      <c r="M171" s="102"/>
      <c r="N171" s="102">
        <v>1</v>
      </c>
    </row>
    <row r="172" spans="1:14">
      <c r="A172" s="107">
        <v>40</v>
      </c>
      <c r="B172" s="182" t="s">
        <v>114</v>
      </c>
      <c r="C172" s="107" t="s">
        <v>120</v>
      </c>
      <c r="D172" s="116" t="s">
        <v>175</v>
      </c>
      <c r="E172" s="107" t="s">
        <v>118</v>
      </c>
      <c r="F172" s="102">
        <v>15</v>
      </c>
      <c r="G172" s="102" t="s">
        <v>49</v>
      </c>
      <c r="H172" s="108"/>
      <c r="I172" s="107"/>
      <c r="J172" s="102" t="s">
        <v>81</v>
      </c>
      <c r="K172" s="109" t="s">
        <v>70</v>
      </c>
      <c r="L172" s="108"/>
      <c r="M172" s="102"/>
      <c r="N172" s="102">
        <v>1</v>
      </c>
    </row>
    <row r="173" spans="1:14">
      <c r="A173" s="107">
        <v>41</v>
      </c>
      <c r="B173" s="182" t="s">
        <v>114</v>
      </c>
      <c r="C173" s="107" t="s">
        <v>54</v>
      </c>
      <c r="D173" s="116" t="s">
        <v>175</v>
      </c>
      <c r="E173" s="182" t="s">
        <v>121</v>
      </c>
      <c r="F173" s="186" t="s">
        <v>90</v>
      </c>
      <c r="G173" s="102" t="s">
        <v>45</v>
      </c>
      <c r="H173" s="108"/>
      <c r="I173" s="107"/>
      <c r="J173" s="102" t="s">
        <v>81</v>
      </c>
      <c r="K173" s="109" t="s">
        <v>70</v>
      </c>
      <c r="L173" s="108"/>
      <c r="M173" s="102"/>
      <c r="N173" s="102">
        <v>1</v>
      </c>
    </row>
    <row r="174" spans="1:14">
      <c r="A174" s="107">
        <v>42</v>
      </c>
      <c r="B174" s="182" t="s">
        <v>114</v>
      </c>
      <c r="C174" s="107" t="s">
        <v>120</v>
      </c>
      <c r="D174" s="116" t="s">
        <v>175</v>
      </c>
      <c r="E174" s="107" t="s">
        <v>125</v>
      </c>
      <c r="F174" s="102">
        <v>5</v>
      </c>
      <c r="G174" s="102" t="s">
        <v>49</v>
      </c>
      <c r="H174" s="108"/>
      <c r="I174" s="107"/>
      <c r="J174" s="102"/>
      <c r="K174" s="109" t="s">
        <v>70</v>
      </c>
      <c r="L174" s="108"/>
      <c r="M174" s="102"/>
      <c r="N174" s="102">
        <v>1</v>
      </c>
    </row>
    <row r="175" spans="1:14">
      <c r="A175" s="107">
        <v>43</v>
      </c>
      <c r="B175" s="182" t="s">
        <v>114</v>
      </c>
      <c r="C175" s="107" t="s">
        <v>120</v>
      </c>
      <c r="D175" s="116" t="s">
        <v>175</v>
      </c>
      <c r="E175" s="107" t="s">
        <v>127</v>
      </c>
      <c r="F175" s="102">
        <v>6</v>
      </c>
      <c r="G175" s="102" t="s">
        <v>49</v>
      </c>
      <c r="H175" s="108"/>
      <c r="I175" s="107"/>
      <c r="J175" s="102"/>
      <c r="K175" s="109" t="s">
        <v>70</v>
      </c>
      <c r="L175" s="108"/>
      <c r="M175" s="102"/>
      <c r="N175" s="102">
        <v>1</v>
      </c>
    </row>
    <row r="176" spans="1:14">
      <c r="A176" s="107">
        <v>44</v>
      </c>
      <c r="B176" s="182" t="s">
        <v>114</v>
      </c>
      <c r="C176" s="107" t="s">
        <v>54</v>
      </c>
      <c r="D176" s="116" t="s">
        <v>175</v>
      </c>
      <c r="E176" s="107" t="s">
        <v>128</v>
      </c>
      <c r="F176" s="102">
        <v>6</v>
      </c>
      <c r="G176" s="102" t="s">
        <v>45</v>
      </c>
      <c r="H176" s="108"/>
      <c r="I176" s="107"/>
      <c r="J176" s="102"/>
      <c r="K176" s="109" t="s">
        <v>70</v>
      </c>
      <c r="L176" s="108"/>
      <c r="M176" s="102"/>
      <c r="N176" s="102">
        <v>1</v>
      </c>
    </row>
    <row r="177" spans="1:14">
      <c r="A177" s="107">
        <v>45</v>
      </c>
      <c r="B177" s="182" t="s">
        <v>114</v>
      </c>
      <c r="C177" s="107" t="s">
        <v>54</v>
      </c>
      <c r="D177" s="116" t="s">
        <v>175</v>
      </c>
      <c r="E177" s="107" t="s">
        <v>130</v>
      </c>
      <c r="F177" s="102">
        <v>11</v>
      </c>
      <c r="G177" s="102" t="s">
        <v>45</v>
      </c>
      <c r="H177" s="108"/>
      <c r="I177" s="107"/>
      <c r="J177" s="102"/>
      <c r="K177" s="109" t="s">
        <v>70</v>
      </c>
      <c r="L177" s="108"/>
      <c r="M177" s="102"/>
      <c r="N177" s="102">
        <v>1</v>
      </c>
    </row>
    <row r="178" spans="1:14">
      <c r="A178" s="107">
        <v>46</v>
      </c>
      <c r="B178" s="182" t="s">
        <v>114</v>
      </c>
      <c r="C178" s="107" t="s">
        <v>120</v>
      </c>
      <c r="D178" s="116" t="s">
        <v>175</v>
      </c>
      <c r="E178" s="182" t="s">
        <v>132</v>
      </c>
      <c r="F178" s="102">
        <v>6</v>
      </c>
      <c r="G178" s="102" t="s">
        <v>117</v>
      </c>
      <c r="H178" s="108"/>
      <c r="I178" s="107"/>
      <c r="J178" s="102"/>
      <c r="K178" s="109" t="s">
        <v>70</v>
      </c>
      <c r="L178" s="108"/>
      <c r="M178" s="102"/>
      <c r="N178" s="102">
        <v>1</v>
      </c>
    </row>
    <row r="179" spans="1:14">
      <c r="A179" s="107">
        <v>47</v>
      </c>
      <c r="B179" s="182" t="s">
        <v>114</v>
      </c>
      <c r="C179" s="107" t="s">
        <v>120</v>
      </c>
      <c r="D179" s="116" t="s">
        <v>175</v>
      </c>
      <c r="E179" s="107" t="s">
        <v>133</v>
      </c>
      <c r="F179" s="102">
        <v>8</v>
      </c>
      <c r="G179" s="102" t="s">
        <v>117</v>
      </c>
      <c r="H179" s="108"/>
      <c r="I179" s="107"/>
      <c r="J179" s="102"/>
      <c r="K179" s="109" t="s">
        <v>70</v>
      </c>
      <c r="L179" s="108"/>
      <c r="M179" s="102"/>
      <c r="N179" s="102">
        <v>1</v>
      </c>
    </row>
    <row r="180" spans="1:14">
      <c r="A180" s="107">
        <v>48</v>
      </c>
      <c r="B180" s="182" t="s">
        <v>114</v>
      </c>
      <c r="C180" s="107" t="s">
        <v>54</v>
      </c>
      <c r="D180" s="116" t="s">
        <v>175</v>
      </c>
      <c r="E180" s="107" t="s">
        <v>135</v>
      </c>
      <c r="F180" s="102">
        <v>8</v>
      </c>
      <c r="G180" s="102" t="s">
        <v>49</v>
      </c>
      <c r="H180" s="108"/>
      <c r="I180" s="107"/>
      <c r="J180" s="102"/>
      <c r="K180" s="109" t="s">
        <v>70</v>
      </c>
      <c r="L180" s="108"/>
      <c r="M180" s="102"/>
      <c r="N180" s="102">
        <v>1</v>
      </c>
    </row>
    <row r="181" spans="1:14">
      <c r="A181" s="107">
        <v>49</v>
      </c>
      <c r="B181" s="182" t="s">
        <v>114</v>
      </c>
      <c r="C181" s="107" t="s">
        <v>54</v>
      </c>
      <c r="D181" s="116" t="s">
        <v>175</v>
      </c>
      <c r="E181" s="107" t="s">
        <v>136</v>
      </c>
      <c r="F181" s="102">
        <v>14</v>
      </c>
      <c r="G181" s="102" t="s">
        <v>52</v>
      </c>
      <c r="H181" s="108"/>
      <c r="I181" s="107"/>
      <c r="J181" s="102"/>
      <c r="K181" s="109" t="s">
        <v>70</v>
      </c>
      <c r="L181" s="108"/>
      <c r="M181" s="102"/>
      <c r="N181" s="102">
        <v>1</v>
      </c>
    </row>
    <row r="182" spans="1:14">
      <c r="A182" s="107">
        <v>50</v>
      </c>
      <c r="B182" s="182" t="s">
        <v>114</v>
      </c>
      <c r="C182" s="107" t="s">
        <v>54</v>
      </c>
      <c r="D182" s="116" t="s">
        <v>175</v>
      </c>
      <c r="E182" s="107" t="s">
        <v>137</v>
      </c>
      <c r="F182" s="102">
        <v>7</v>
      </c>
      <c r="G182" s="102" t="s">
        <v>52</v>
      </c>
      <c r="H182" s="108"/>
      <c r="I182" s="107"/>
      <c r="J182" s="102"/>
      <c r="K182" s="109" t="s">
        <v>70</v>
      </c>
      <c r="L182" s="108"/>
      <c r="M182" s="102"/>
      <c r="N182" s="102">
        <v>1</v>
      </c>
    </row>
    <row r="183" spans="1:14">
      <c r="A183" s="107">
        <v>51</v>
      </c>
      <c r="B183" s="182" t="s">
        <v>114</v>
      </c>
      <c r="C183" s="107" t="s">
        <v>54</v>
      </c>
      <c r="D183" s="116" t="s">
        <v>175</v>
      </c>
      <c r="E183" s="107" t="s">
        <v>408</v>
      </c>
      <c r="F183" s="186" t="s">
        <v>90</v>
      </c>
      <c r="G183" s="102" t="s">
        <v>52</v>
      </c>
      <c r="H183" s="108"/>
      <c r="I183" s="107"/>
      <c r="J183" s="102"/>
      <c r="K183" s="109" t="s">
        <v>70</v>
      </c>
      <c r="L183" s="108"/>
      <c r="M183" s="102"/>
      <c r="N183" s="102">
        <v>1</v>
      </c>
    </row>
    <row r="184" spans="1:14">
      <c r="A184" s="107">
        <v>52</v>
      </c>
      <c r="B184" s="182" t="s">
        <v>114</v>
      </c>
      <c r="C184" s="107" t="s">
        <v>54</v>
      </c>
      <c r="D184" s="116" t="s">
        <v>175</v>
      </c>
      <c r="E184" s="107" t="s">
        <v>138</v>
      </c>
      <c r="F184" s="186" t="s">
        <v>90</v>
      </c>
      <c r="G184" s="102" t="s">
        <v>357</v>
      </c>
      <c r="H184" s="108"/>
      <c r="I184" s="107"/>
      <c r="J184" s="102"/>
      <c r="K184" s="109" t="s">
        <v>70</v>
      </c>
      <c r="L184" s="108"/>
      <c r="M184" s="102"/>
      <c r="N184" s="102">
        <v>1</v>
      </c>
    </row>
    <row r="185" spans="1:14">
      <c r="A185" s="107">
        <v>53</v>
      </c>
      <c r="B185" s="182" t="s">
        <v>114</v>
      </c>
      <c r="C185" s="107" t="s">
        <v>120</v>
      </c>
      <c r="D185" s="116" t="s">
        <v>175</v>
      </c>
      <c r="E185" s="107" t="s">
        <v>139</v>
      </c>
      <c r="F185" s="102">
        <v>15</v>
      </c>
      <c r="G185" s="102" t="s">
        <v>49</v>
      </c>
      <c r="H185" s="108"/>
      <c r="I185" s="107"/>
      <c r="J185" s="102"/>
      <c r="K185" s="109" t="s">
        <v>70</v>
      </c>
      <c r="L185" s="108"/>
      <c r="M185" s="102"/>
      <c r="N185" s="102">
        <v>1</v>
      </c>
    </row>
    <row r="186" spans="1:14">
      <c r="A186" s="107">
        <v>54</v>
      </c>
      <c r="B186" s="182" t="s">
        <v>114</v>
      </c>
      <c r="C186" s="107" t="s">
        <v>54</v>
      </c>
      <c r="D186" s="116" t="s">
        <v>175</v>
      </c>
      <c r="E186" s="107" t="s">
        <v>140</v>
      </c>
      <c r="F186" s="102">
        <v>12</v>
      </c>
      <c r="G186" s="102" t="s">
        <v>49</v>
      </c>
      <c r="H186" s="108"/>
      <c r="I186" s="107"/>
      <c r="J186" s="102"/>
      <c r="K186" s="109" t="s">
        <v>70</v>
      </c>
      <c r="L186" s="108"/>
      <c r="M186" s="102"/>
      <c r="N186" s="102">
        <v>1</v>
      </c>
    </row>
    <row r="187" spans="1:14">
      <c r="A187" s="107">
        <v>55</v>
      </c>
      <c r="B187" s="182" t="s">
        <v>114</v>
      </c>
      <c r="C187" s="107" t="s">
        <v>54</v>
      </c>
      <c r="D187" s="116" t="s">
        <v>175</v>
      </c>
      <c r="E187" s="107" t="s">
        <v>141</v>
      </c>
      <c r="F187" s="102">
        <v>11</v>
      </c>
      <c r="G187" s="102" t="s">
        <v>49</v>
      </c>
      <c r="H187" s="108"/>
      <c r="I187" s="107"/>
      <c r="J187" s="102"/>
      <c r="K187" s="109" t="s">
        <v>70</v>
      </c>
      <c r="L187" s="108"/>
      <c r="M187" s="102"/>
      <c r="N187" s="102">
        <v>1</v>
      </c>
    </row>
    <row r="188" spans="1:14">
      <c r="A188" s="107">
        <v>56</v>
      </c>
      <c r="B188" s="182" t="s">
        <v>114</v>
      </c>
      <c r="C188" s="107" t="s">
        <v>54</v>
      </c>
      <c r="D188" s="116" t="s">
        <v>175</v>
      </c>
      <c r="E188" s="107" t="s">
        <v>142</v>
      </c>
      <c r="F188" s="102">
        <v>10</v>
      </c>
      <c r="G188" s="102" t="s">
        <v>49</v>
      </c>
      <c r="H188" s="108"/>
      <c r="I188" s="107"/>
      <c r="J188" s="102"/>
      <c r="K188" s="109" t="s">
        <v>70</v>
      </c>
      <c r="L188" s="108"/>
      <c r="M188" s="102"/>
      <c r="N188" s="102">
        <v>1</v>
      </c>
    </row>
    <row r="189" spans="1:14">
      <c r="A189" s="107">
        <v>57</v>
      </c>
      <c r="B189" s="182" t="s">
        <v>114</v>
      </c>
      <c r="C189" s="107" t="s">
        <v>54</v>
      </c>
      <c r="D189" s="116" t="s">
        <v>175</v>
      </c>
      <c r="E189" s="107" t="s">
        <v>143</v>
      </c>
      <c r="F189" s="102">
        <v>8</v>
      </c>
      <c r="G189" s="102" t="s">
        <v>49</v>
      </c>
      <c r="H189" s="108"/>
      <c r="I189" s="107"/>
      <c r="J189" s="102"/>
      <c r="K189" s="109" t="s">
        <v>70</v>
      </c>
      <c r="L189" s="108"/>
      <c r="M189" s="102"/>
      <c r="N189" s="102">
        <v>1</v>
      </c>
    </row>
    <row r="190" spans="1:14">
      <c r="A190" s="107">
        <v>58</v>
      </c>
      <c r="B190" s="182" t="s">
        <v>114</v>
      </c>
      <c r="C190" s="107" t="s">
        <v>120</v>
      </c>
      <c r="D190" s="116" t="s">
        <v>175</v>
      </c>
      <c r="E190" s="107" t="s">
        <v>144</v>
      </c>
      <c r="F190" s="102">
        <v>6</v>
      </c>
      <c r="G190" s="102" t="s">
        <v>49</v>
      </c>
      <c r="H190" s="108"/>
      <c r="I190" s="107"/>
      <c r="J190" s="102"/>
      <c r="K190" s="109" t="s">
        <v>70</v>
      </c>
      <c r="L190" s="108"/>
      <c r="M190" s="102"/>
      <c r="N190" s="102">
        <v>1</v>
      </c>
    </row>
    <row r="191" spans="1:14">
      <c r="A191" s="107">
        <v>59</v>
      </c>
      <c r="B191" s="182" t="s">
        <v>114</v>
      </c>
      <c r="C191" s="107" t="s">
        <v>54</v>
      </c>
      <c r="D191" s="116" t="s">
        <v>175</v>
      </c>
      <c r="E191" s="107" t="s">
        <v>147</v>
      </c>
      <c r="F191" s="102">
        <v>8</v>
      </c>
      <c r="G191" s="102" t="s">
        <v>46</v>
      </c>
      <c r="H191" s="108"/>
      <c r="I191" s="107"/>
      <c r="J191" s="102"/>
      <c r="K191" s="109" t="s">
        <v>70</v>
      </c>
      <c r="L191" s="108"/>
      <c r="M191" s="102"/>
      <c r="N191" s="102">
        <v>1</v>
      </c>
    </row>
    <row r="192" spans="1:14">
      <c r="A192" s="107">
        <v>60</v>
      </c>
      <c r="B192" s="182" t="s">
        <v>114</v>
      </c>
      <c r="C192" s="107" t="s">
        <v>54</v>
      </c>
      <c r="D192" s="116" t="s">
        <v>175</v>
      </c>
      <c r="E192" s="107" t="s">
        <v>149</v>
      </c>
      <c r="F192" s="186" t="s">
        <v>90</v>
      </c>
      <c r="G192" s="102" t="s">
        <v>52</v>
      </c>
      <c r="H192" s="108"/>
      <c r="I192" s="107"/>
      <c r="J192" s="102"/>
      <c r="K192" s="109" t="s">
        <v>70</v>
      </c>
      <c r="L192" s="108"/>
      <c r="M192" s="102"/>
      <c r="N192" s="102">
        <v>1</v>
      </c>
    </row>
    <row r="193" spans="1:14">
      <c r="A193" s="107">
        <v>61</v>
      </c>
      <c r="B193" s="182" t="s">
        <v>114</v>
      </c>
      <c r="C193" s="107" t="s">
        <v>54</v>
      </c>
      <c r="D193" s="116" t="s">
        <v>175</v>
      </c>
      <c r="E193" s="107" t="s">
        <v>150</v>
      </c>
      <c r="F193" s="186" t="s">
        <v>90</v>
      </c>
      <c r="G193" s="102" t="s">
        <v>52</v>
      </c>
      <c r="H193" s="108"/>
      <c r="I193" s="107"/>
      <c r="J193" s="102"/>
      <c r="K193" s="109" t="s">
        <v>70</v>
      </c>
      <c r="L193" s="108"/>
      <c r="M193" s="102"/>
      <c r="N193" s="102">
        <v>1</v>
      </c>
    </row>
    <row r="194" spans="1:14">
      <c r="A194" s="107">
        <v>62</v>
      </c>
      <c r="B194" s="182" t="s">
        <v>114</v>
      </c>
      <c r="C194" s="107" t="s">
        <v>54</v>
      </c>
      <c r="D194" s="116" t="s">
        <v>175</v>
      </c>
      <c r="E194" s="107" t="s">
        <v>151</v>
      </c>
      <c r="F194" s="186" t="s">
        <v>107</v>
      </c>
      <c r="G194" s="102" t="s">
        <v>47</v>
      </c>
      <c r="H194" s="108"/>
      <c r="I194" s="107"/>
      <c r="J194" s="102"/>
      <c r="K194" s="109" t="s">
        <v>70</v>
      </c>
      <c r="L194" s="108"/>
      <c r="M194" s="102"/>
      <c r="N194" s="102">
        <v>1</v>
      </c>
    </row>
    <row r="195" spans="1:14">
      <c r="A195" s="107">
        <v>63</v>
      </c>
      <c r="B195" s="182" t="s">
        <v>114</v>
      </c>
      <c r="C195" s="107" t="s">
        <v>120</v>
      </c>
      <c r="D195" s="116" t="s">
        <v>175</v>
      </c>
      <c r="E195" s="107" t="s">
        <v>153</v>
      </c>
      <c r="F195" s="102" t="s">
        <v>90</v>
      </c>
      <c r="G195" s="102" t="s">
        <v>47</v>
      </c>
      <c r="H195" s="108"/>
      <c r="I195" s="107"/>
      <c r="J195" s="102"/>
      <c r="K195" s="109" t="s">
        <v>68</v>
      </c>
      <c r="L195" s="108">
        <v>244548</v>
      </c>
      <c r="M195" s="102">
        <v>3</v>
      </c>
      <c r="N195" s="102">
        <v>1</v>
      </c>
    </row>
    <row r="196" spans="1:14">
      <c r="A196" s="107">
        <v>64</v>
      </c>
      <c r="B196" s="182" t="s">
        <v>114</v>
      </c>
      <c r="C196" s="107" t="s">
        <v>54</v>
      </c>
      <c r="D196" s="116" t="s">
        <v>175</v>
      </c>
      <c r="E196" s="107" t="s">
        <v>409</v>
      </c>
      <c r="F196" s="102" t="s">
        <v>90</v>
      </c>
      <c r="G196" s="102" t="s">
        <v>45</v>
      </c>
      <c r="H196" s="108"/>
      <c r="I196" s="107"/>
      <c r="J196" s="102"/>
      <c r="K196" s="109" t="s">
        <v>70</v>
      </c>
      <c r="L196" s="108"/>
      <c r="M196" s="102"/>
      <c r="N196" s="102">
        <v>1</v>
      </c>
    </row>
    <row r="197" spans="1:14">
      <c r="A197" s="107">
        <v>65</v>
      </c>
      <c r="B197" s="182" t="s">
        <v>114</v>
      </c>
      <c r="C197" s="107" t="s">
        <v>54</v>
      </c>
      <c r="D197" s="116" t="s">
        <v>175</v>
      </c>
      <c r="E197" s="182" t="s">
        <v>154</v>
      </c>
      <c r="F197" s="186" t="s">
        <v>90</v>
      </c>
      <c r="G197" s="102" t="s">
        <v>357</v>
      </c>
      <c r="H197" s="108"/>
      <c r="I197" s="107"/>
      <c r="J197" s="102"/>
      <c r="K197" s="109" t="s">
        <v>68</v>
      </c>
      <c r="L197" s="108">
        <v>244548</v>
      </c>
      <c r="M197" s="102">
        <v>3</v>
      </c>
      <c r="N197" s="102">
        <v>1</v>
      </c>
    </row>
    <row r="198" spans="1:14">
      <c r="A198" s="107">
        <v>66</v>
      </c>
      <c r="B198" s="182" t="s">
        <v>114</v>
      </c>
      <c r="C198" s="107" t="s">
        <v>54</v>
      </c>
      <c r="D198" s="116" t="s">
        <v>175</v>
      </c>
      <c r="E198" s="107" t="s">
        <v>155</v>
      </c>
      <c r="F198" s="186" t="s">
        <v>90</v>
      </c>
      <c r="G198" s="102" t="s">
        <v>45</v>
      </c>
      <c r="H198" s="108"/>
      <c r="I198" s="107"/>
      <c r="J198" s="102"/>
      <c r="K198" s="109" t="s">
        <v>70</v>
      </c>
      <c r="L198" s="108"/>
      <c r="M198" s="102"/>
      <c r="N198" s="102">
        <v>1</v>
      </c>
    </row>
    <row r="199" spans="1:14">
      <c r="A199" s="107">
        <v>67</v>
      </c>
      <c r="B199" s="182" t="s">
        <v>114</v>
      </c>
      <c r="C199" s="107" t="s">
        <v>54</v>
      </c>
      <c r="D199" s="116" t="s">
        <v>175</v>
      </c>
      <c r="E199" s="107" t="s">
        <v>162</v>
      </c>
      <c r="F199" s="186" t="s">
        <v>90</v>
      </c>
      <c r="G199" s="102" t="s">
        <v>51</v>
      </c>
      <c r="H199" s="108"/>
      <c r="I199" s="107"/>
      <c r="J199" s="102"/>
      <c r="K199" s="109" t="s">
        <v>70</v>
      </c>
      <c r="L199" s="108"/>
      <c r="M199" s="102"/>
      <c r="N199" s="102">
        <v>1</v>
      </c>
    </row>
    <row r="200" spans="1:14">
      <c r="A200" s="107">
        <v>68</v>
      </c>
      <c r="B200" s="182" t="s">
        <v>114</v>
      </c>
      <c r="C200" s="107" t="s">
        <v>54</v>
      </c>
      <c r="D200" s="116" t="s">
        <v>175</v>
      </c>
      <c r="E200" s="107" t="s">
        <v>410</v>
      </c>
      <c r="F200" s="102">
        <v>9</v>
      </c>
      <c r="G200" s="102" t="s">
        <v>117</v>
      </c>
      <c r="H200" s="108"/>
      <c r="I200" s="107"/>
      <c r="J200" s="102"/>
      <c r="K200" s="109" t="s">
        <v>70</v>
      </c>
      <c r="L200" s="108"/>
      <c r="M200" s="102"/>
      <c r="N200" s="102">
        <v>1</v>
      </c>
    </row>
    <row r="201" spans="1:14">
      <c r="A201" s="107">
        <v>69</v>
      </c>
      <c r="B201" s="182" t="s">
        <v>114</v>
      </c>
      <c r="C201" s="107" t="s">
        <v>54</v>
      </c>
      <c r="D201" s="116" t="s">
        <v>175</v>
      </c>
      <c r="E201" s="182" t="s">
        <v>82</v>
      </c>
      <c r="F201" s="102">
        <v>6</v>
      </c>
      <c r="G201" s="102" t="s">
        <v>47</v>
      </c>
      <c r="H201" s="108"/>
      <c r="I201" s="107"/>
      <c r="J201" s="102" t="s">
        <v>81</v>
      </c>
      <c r="K201" s="109" t="s">
        <v>70</v>
      </c>
      <c r="L201" s="108"/>
      <c r="M201" s="102"/>
      <c r="N201" s="102">
        <v>1</v>
      </c>
    </row>
    <row r="202" spans="1:14">
      <c r="A202" s="107">
        <v>70</v>
      </c>
      <c r="B202" s="182" t="s">
        <v>114</v>
      </c>
      <c r="C202" s="107" t="s">
        <v>54</v>
      </c>
      <c r="D202" s="116" t="s">
        <v>175</v>
      </c>
      <c r="E202" s="107" t="s">
        <v>91</v>
      </c>
      <c r="F202" s="186" t="s">
        <v>90</v>
      </c>
      <c r="G202" s="102" t="s">
        <v>52</v>
      </c>
      <c r="H202" s="108"/>
      <c r="I202" s="107"/>
      <c r="J202" s="102"/>
      <c r="K202" s="109" t="s">
        <v>70</v>
      </c>
      <c r="L202" s="108"/>
      <c r="M202" s="102"/>
      <c r="N202" s="102">
        <v>1</v>
      </c>
    </row>
    <row r="203" spans="1:14">
      <c r="A203" s="107">
        <v>71</v>
      </c>
      <c r="B203" s="182" t="s">
        <v>114</v>
      </c>
      <c r="C203" s="107" t="s">
        <v>54</v>
      </c>
      <c r="D203" s="116" t="s">
        <v>175</v>
      </c>
      <c r="E203" s="107" t="s">
        <v>88</v>
      </c>
      <c r="F203" s="102">
        <v>12</v>
      </c>
      <c r="G203" s="102" t="s">
        <v>50</v>
      </c>
      <c r="H203" s="108"/>
      <c r="I203" s="107"/>
      <c r="J203" s="102"/>
      <c r="K203" s="109" t="s">
        <v>70</v>
      </c>
      <c r="L203" s="108"/>
      <c r="M203" s="102"/>
      <c r="N203" s="102">
        <v>1</v>
      </c>
    </row>
    <row r="204" spans="1:14">
      <c r="A204" s="107">
        <v>72</v>
      </c>
      <c r="B204" s="182" t="s">
        <v>114</v>
      </c>
      <c r="C204" s="107" t="s">
        <v>54</v>
      </c>
      <c r="D204" s="116" t="s">
        <v>175</v>
      </c>
      <c r="E204" s="107" t="s">
        <v>98</v>
      </c>
      <c r="F204" s="102">
        <v>3</v>
      </c>
      <c r="G204" s="102" t="s">
        <v>52</v>
      </c>
      <c r="H204" s="108"/>
      <c r="I204" s="107"/>
      <c r="J204" s="102"/>
      <c r="K204" s="109" t="s">
        <v>70</v>
      </c>
      <c r="L204" s="108"/>
      <c r="M204" s="102"/>
      <c r="N204" s="102">
        <v>1</v>
      </c>
    </row>
    <row r="205" spans="1:14">
      <c r="A205" s="107">
        <v>73</v>
      </c>
      <c r="B205" s="182" t="s">
        <v>114</v>
      </c>
      <c r="C205" s="107" t="s">
        <v>54</v>
      </c>
      <c r="D205" s="116" t="s">
        <v>175</v>
      </c>
      <c r="E205" s="107" t="s">
        <v>99</v>
      </c>
      <c r="F205" s="102">
        <v>5</v>
      </c>
      <c r="G205" s="102" t="s">
        <v>117</v>
      </c>
      <c r="H205" s="108"/>
      <c r="I205" s="107"/>
      <c r="J205" s="102"/>
      <c r="K205" s="109" t="s">
        <v>70</v>
      </c>
      <c r="L205" s="108"/>
      <c r="M205" s="102"/>
      <c r="N205" s="102">
        <v>1</v>
      </c>
    </row>
    <row r="206" spans="1:14">
      <c r="A206" s="107">
        <v>74</v>
      </c>
      <c r="B206" s="182" t="s">
        <v>114</v>
      </c>
      <c r="C206" s="107" t="s">
        <v>54</v>
      </c>
      <c r="D206" s="116" t="s">
        <v>175</v>
      </c>
      <c r="E206" s="107" t="s">
        <v>104</v>
      </c>
      <c r="F206" s="102">
        <v>10</v>
      </c>
      <c r="G206" s="102" t="s">
        <v>52</v>
      </c>
      <c r="H206" s="108"/>
      <c r="I206" s="107"/>
      <c r="J206" s="102"/>
      <c r="K206" s="109" t="s">
        <v>70</v>
      </c>
      <c r="L206" s="108"/>
      <c r="M206" s="102"/>
      <c r="N206" s="102">
        <v>1</v>
      </c>
    </row>
    <row r="207" spans="1:14">
      <c r="A207" s="107">
        <v>75</v>
      </c>
      <c r="B207" s="182" t="s">
        <v>114</v>
      </c>
      <c r="C207" s="107" t="s">
        <v>54</v>
      </c>
      <c r="D207" s="116" t="s">
        <v>175</v>
      </c>
      <c r="E207" s="107" t="s">
        <v>106</v>
      </c>
      <c r="F207" s="102">
        <v>11</v>
      </c>
      <c r="G207" s="102" t="s">
        <v>51</v>
      </c>
      <c r="H207" s="108"/>
      <c r="I207" s="107"/>
      <c r="J207" s="102"/>
      <c r="K207" s="109" t="s">
        <v>70</v>
      </c>
      <c r="L207" s="108"/>
      <c r="M207" s="102"/>
      <c r="N207" s="102">
        <v>1</v>
      </c>
    </row>
    <row r="208" spans="1:14">
      <c r="A208" s="107">
        <v>76</v>
      </c>
      <c r="B208" s="182" t="s">
        <v>114</v>
      </c>
      <c r="C208" s="107" t="s">
        <v>54</v>
      </c>
      <c r="D208" s="116" t="s">
        <v>175</v>
      </c>
      <c r="E208" s="107" t="s">
        <v>108</v>
      </c>
      <c r="F208" s="186" t="s">
        <v>107</v>
      </c>
      <c r="G208" s="102" t="s">
        <v>357</v>
      </c>
      <c r="H208" s="108"/>
      <c r="I208" s="107"/>
      <c r="J208" s="102"/>
      <c r="K208" s="109" t="s">
        <v>70</v>
      </c>
      <c r="L208" s="108"/>
      <c r="M208" s="102"/>
      <c r="N208" s="102">
        <v>1</v>
      </c>
    </row>
    <row r="209" spans="1:14">
      <c r="A209" s="107">
        <v>77</v>
      </c>
      <c r="B209" s="182" t="s">
        <v>114</v>
      </c>
      <c r="C209" s="107" t="s">
        <v>54</v>
      </c>
      <c r="D209" s="116" t="s">
        <v>175</v>
      </c>
      <c r="E209" s="118" t="s">
        <v>109</v>
      </c>
      <c r="F209" s="112">
        <v>14</v>
      </c>
      <c r="G209" s="102" t="s">
        <v>357</v>
      </c>
      <c r="H209" s="119"/>
      <c r="I209" s="118"/>
      <c r="J209" s="112"/>
      <c r="K209" s="109" t="s">
        <v>70</v>
      </c>
      <c r="L209" s="119"/>
      <c r="M209" s="112"/>
      <c r="N209" s="102">
        <v>1</v>
      </c>
    </row>
    <row r="210" spans="1:14">
      <c r="A210" s="107">
        <v>78</v>
      </c>
      <c r="B210" s="182" t="s">
        <v>411</v>
      </c>
      <c r="C210" s="107" t="s">
        <v>59</v>
      </c>
      <c r="D210" s="116" t="s">
        <v>236</v>
      </c>
      <c r="E210" s="182" t="s">
        <v>412</v>
      </c>
      <c r="F210" s="102">
        <v>3</v>
      </c>
      <c r="G210" s="102" t="s">
        <v>51</v>
      </c>
      <c r="H210" s="108">
        <v>244544</v>
      </c>
      <c r="I210" s="107"/>
      <c r="J210" s="102" t="s">
        <v>86</v>
      </c>
      <c r="K210" s="109" t="s">
        <v>68</v>
      </c>
      <c r="L210" s="108">
        <v>244545</v>
      </c>
      <c r="M210" s="102">
        <v>3</v>
      </c>
      <c r="N210" s="102">
        <v>3</v>
      </c>
    </row>
    <row r="211" spans="1:14">
      <c r="A211" s="107">
        <v>79</v>
      </c>
      <c r="B211" s="182" t="s">
        <v>234</v>
      </c>
      <c r="C211" s="107" t="s">
        <v>54</v>
      </c>
      <c r="D211" s="116" t="s">
        <v>175</v>
      </c>
      <c r="E211" s="182" t="s">
        <v>413</v>
      </c>
      <c r="F211" s="186" t="s">
        <v>90</v>
      </c>
      <c r="G211" s="102" t="s">
        <v>52</v>
      </c>
      <c r="H211" s="108">
        <v>244548</v>
      </c>
      <c r="I211" s="107"/>
      <c r="J211" s="102" t="s">
        <v>81</v>
      </c>
      <c r="K211" s="109" t="s">
        <v>70</v>
      </c>
      <c r="L211" s="108"/>
      <c r="M211" s="102"/>
      <c r="N211" s="102">
        <v>3</v>
      </c>
    </row>
    <row r="212" spans="1:14">
      <c r="A212" s="107">
        <v>80</v>
      </c>
      <c r="B212" s="182" t="s">
        <v>414</v>
      </c>
      <c r="C212" s="107" t="s">
        <v>54</v>
      </c>
      <c r="D212" s="116" t="s">
        <v>175</v>
      </c>
      <c r="E212" s="182" t="s">
        <v>415</v>
      </c>
      <c r="F212" s="186" t="s">
        <v>90</v>
      </c>
      <c r="G212" s="102" t="s">
        <v>52</v>
      </c>
      <c r="H212" s="108">
        <v>244546</v>
      </c>
      <c r="I212" s="107"/>
      <c r="J212" s="102" t="s">
        <v>81</v>
      </c>
      <c r="K212" s="109" t="s">
        <v>68</v>
      </c>
      <c r="L212" s="108">
        <v>244548</v>
      </c>
      <c r="M212" s="102">
        <v>3</v>
      </c>
      <c r="N212" s="102">
        <v>3</v>
      </c>
    </row>
    <row r="213" spans="1:14">
      <c r="A213" s="107">
        <v>81</v>
      </c>
      <c r="B213" s="182" t="s">
        <v>378</v>
      </c>
      <c r="C213" s="107" t="s">
        <v>54</v>
      </c>
      <c r="D213" s="116" t="s">
        <v>175</v>
      </c>
      <c r="E213" s="182" t="s">
        <v>416</v>
      </c>
      <c r="F213" s="102">
        <v>5</v>
      </c>
      <c r="G213" s="102" t="s">
        <v>51</v>
      </c>
      <c r="H213" s="108">
        <v>244548</v>
      </c>
      <c r="I213" s="107"/>
      <c r="J213" s="102" t="s">
        <v>86</v>
      </c>
      <c r="K213" s="109" t="s">
        <v>68</v>
      </c>
      <c r="L213" s="108">
        <v>244548</v>
      </c>
      <c r="M213" s="102">
        <v>3</v>
      </c>
      <c r="N213" s="102">
        <v>3</v>
      </c>
    </row>
    <row r="214" spans="1:14">
      <c r="A214" s="107">
        <v>82</v>
      </c>
      <c r="B214" s="182" t="s">
        <v>234</v>
      </c>
      <c r="C214" s="107" t="s">
        <v>54</v>
      </c>
      <c r="D214" s="116" t="s">
        <v>175</v>
      </c>
      <c r="E214" s="107" t="s">
        <v>417</v>
      </c>
      <c r="F214" s="102">
        <v>8</v>
      </c>
      <c r="G214" s="186" t="s">
        <v>53</v>
      </c>
      <c r="H214" s="108">
        <v>244548</v>
      </c>
      <c r="I214" s="107"/>
      <c r="J214" s="102" t="s">
        <v>86</v>
      </c>
      <c r="K214" s="109" t="s">
        <v>68</v>
      </c>
      <c r="L214" s="108">
        <v>244548</v>
      </c>
      <c r="M214" s="102">
        <v>3</v>
      </c>
      <c r="N214" s="102">
        <v>3</v>
      </c>
    </row>
    <row r="215" spans="1:14">
      <c r="A215" s="107">
        <v>83</v>
      </c>
      <c r="B215" s="182" t="s">
        <v>234</v>
      </c>
      <c r="C215" s="107" t="s">
        <v>54</v>
      </c>
      <c r="D215" s="116" t="s">
        <v>175</v>
      </c>
      <c r="E215" s="182" t="s">
        <v>418</v>
      </c>
      <c r="F215" s="186" t="s">
        <v>90</v>
      </c>
      <c r="G215" s="186" t="s">
        <v>47</v>
      </c>
      <c r="H215" s="108">
        <v>244548</v>
      </c>
      <c r="I215" s="107"/>
      <c r="J215" s="102" t="s">
        <v>81</v>
      </c>
      <c r="K215" s="109" t="s">
        <v>70</v>
      </c>
      <c r="L215" s="108"/>
      <c r="M215" s="102"/>
      <c r="N215" s="102"/>
    </row>
    <row r="216" spans="1:14">
      <c r="A216" s="107">
        <v>84</v>
      </c>
      <c r="B216" s="182" t="s">
        <v>420</v>
      </c>
      <c r="C216" s="107" t="s">
        <v>54</v>
      </c>
      <c r="D216" s="116" t="s">
        <v>173</v>
      </c>
      <c r="E216" s="182" t="s">
        <v>421</v>
      </c>
      <c r="F216" s="102">
        <v>7</v>
      </c>
      <c r="G216" s="186" t="s">
        <v>72</v>
      </c>
      <c r="H216" s="108">
        <v>244550</v>
      </c>
      <c r="I216" s="107"/>
      <c r="J216" s="102" t="s">
        <v>81</v>
      </c>
      <c r="K216" s="109" t="s">
        <v>70</v>
      </c>
      <c r="L216" s="108"/>
      <c r="M216" s="102"/>
      <c r="N216" s="102">
        <v>4</v>
      </c>
    </row>
    <row r="217" spans="1:14">
      <c r="A217" s="107">
        <v>85</v>
      </c>
      <c r="B217" s="182" t="s">
        <v>420</v>
      </c>
      <c r="C217" s="107" t="s">
        <v>120</v>
      </c>
      <c r="D217" s="116" t="s">
        <v>173</v>
      </c>
      <c r="E217" s="182" t="s">
        <v>435</v>
      </c>
      <c r="F217" s="102">
        <v>9</v>
      </c>
      <c r="G217" s="186" t="s">
        <v>49</v>
      </c>
      <c r="H217" s="108">
        <v>244550</v>
      </c>
      <c r="I217" s="107"/>
      <c r="J217" s="102" t="s">
        <v>81</v>
      </c>
      <c r="K217" s="109" t="s">
        <v>70</v>
      </c>
      <c r="L217" s="108"/>
      <c r="M217" s="102"/>
      <c r="N217" s="102">
        <v>4</v>
      </c>
    </row>
    <row r="218" spans="1:14">
      <c r="A218" s="107">
        <v>86</v>
      </c>
      <c r="B218" s="182" t="s">
        <v>385</v>
      </c>
      <c r="C218" s="107" t="s">
        <v>54</v>
      </c>
      <c r="D218" s="116" t="s">
        <v>173</v>
      </c>
      <c r="E218" s="182" t="s">
        <v>463</v>
      </c>
      <c r="F218" s="102">
        <v>11</v>
      </c>
      <c r="G218" s="186" t="s">
        <v>53</v>
      </c>
      <c r="H218" s="108">
        <v>244550</v>
      </c>
      <c r="I218" s="107"/>
      <c r="J218" s="102" t="s">
        <v>81</v>
      </c>
      <c r="K218" s="109" t="s">
        <v>68</v>
      </c>
      <c r="L218" s="108">
        <v>244552</v>
      </c>
      <c r="M218" s="102">
        <v>4</v>
      </c>
      <c r="N218" s="102">
        <v>4</v>
      </c>
    </row>
    <row r="219" spans="1:14">
      <c r="A219" s="107">
        <v>87</v>
      </c>
      <c r="B219" s="182" t="s">
        <v>234</v>
      </c>
      <c r="C219" s="107" t="s">
        <v>54</v>
      </c>
      <c r="D219" s="116" t="s">
        <v>173</v>
      </c>
      <c r="E219" s="182" t="s">
        <v>424</v>
      </c>
      <c r="F219" s="102">
        <v>5</v>
      </c>
      <c r="G219" s="186" t="s">
        <v>48</v>
      </c>
      <c r="H219" s="108">
        <v>244552</v>
      </c>
      <c r="I219" s="182" t="s">
        <v>425</v>
      </c>
      <c r="J219" s="102" t="s">
        <v>81</v>
      </c>
      <c r="K219" s="109" t="s">
        <v>68</v>
      </c>
      <c r="L219" s="108">
        <v>244552</v>
      </c>
      <c r="M219" s="102">
        <v>4</v>
      </c>
      <c r="N219" s="102">
        <v>4</v>
      </c>
    </row>
    <row r="220" spans="1:14">
      <c r="A220" s="107">
        <v>88</v>
      </c>
      <c r="B220" s="182" t="s">
        <v>229</v>
      </c>
      <c r="C220" s="107" t="s">
        <v>54</v>
      </c>
      <c r="D220" s="116" t="s">
        <v>173</v>
      </c>
      <c r="E220" s="182" t="s">
        <v>426</v>
      </c>
      <c r="F220" s="102">
        <v>4</v>
      </c>
      <c r="G220" s="186" t="s">
        <v>45</v>
      </c>
      <c r="H220" s="108">
        <v>244552</v>
      </c>
      <c r="I220" s="182" t="s">
        <v>427</v>
      </c>
      <c r="J220" s="102" t="s">
        <v>81</v>
      </c>
      <c r="K220" s="109" t="s">
        <v>70</v>
      </c>
      <c r="L220" s="108"/>
      <c r="M220" s="102"/>
      <c r="N220" s="102"/>
    </row>
    <row r="221" spans="1:14">
      <c r="A221" s="107">
        <v>89</v>
      </c>
      <c r="B221" s="182" t="s">
        <v>56</v>
      </c>
      <c r="C221" s="107" t="s">
        <v>56</v>
      </c>
      <c r="D221" s="116" t="s">
        <v>173</v>
      </c>
      <c r="E221" s="182" t="s">
        <v>428</v>
      </c>
      <c r="F221" s="102">
        <v>9</v>
      </c>
      <c r="G221" s="102" t="s">
        <v>52</v>
      </c>
      <c r="H221" s="108">
        <v>244546</v>
      </c>
      <c r="I221" s="107"/>
      <c r="J221" s="102" t="s">
        <v>81</v>
      </c>
      <c r="K221" s="109" t="s">
        <v>68</v>
      </c>
      <c r="L221" s="108">
        <v>244552</v>
      </c>
      <c r="M221" s="102">
        <v>4</v>
      </c>
      <c r="N221" s="102">
        <v>3</v>
      </c>
    </row>
    <row r="222" spans="1:14">
      <c r="A222" s="107">
        <v>90</v>
      </c>
      <c r="B222" s="182" t="s">
        <v>429</v>
      </c>
      <c r="C222" s="107" t="s">
        <v>54</v>
      </c>
      <c r="D222" s="116" t="s">
        <v>173</v>
      </c>
      <c r="E222" s="182" t="s">
        <v>430</v>
      </c>
      <c r="F222" s="102"/>
      <c r="G222" s="102" t="s">
        <v>52</v>
      </c>
      <c r="H222" s="108">
        <v>244554</v>
      </c>
      <c r="I222" s="107"/>
      <c r="J222" s="102" t="s">
        <v>86</v>
      </c>
      <c r="K222" s="109" t="s">
        <v>70</v>
      </c>
      <c r="L222" s="108"/>
      <c r="M222" s="102"/>
      <c r="N222" s="102"/>
    </row>
    <row r="223" spans="1:14">
      <c r="A223" s="107">
        <v>91</v>
      </c>
      <c r="B223" s="202" t="s">
        <v>431</v>
      </c>
      <c r="C223" s="107" t="s">
        <v>61</v>
      </c>
      <c r="D223" s="191" t="s">
        <v>236</v>
      </c>
      <c r="E223" s="202" t="s">
        <v>432</v>
      </c>
      <c r="F223" s="112">
        <v>7</v>
      </c>
      <c r="G223" s="102" t="s">
        <v>50</v>
      </c>
      <c r="H223" s="108">
        <v>244544</v>
      </c>
      <c r="I223" s="118"/>
      <c r="J223" s="112" t="s">
        <v>81</v>
      </c>
      <c r="K223" s="84" t="s">
        <v>68</v>
      </c>
      <c r="L223" s="108">
        <v>244554</v>
      </c>
      <c r="M223" s="112">
        <v>4</v>
      </c>
      <c r="N223" s="112">
        <v>4</v>
      </c>
    </row>
    <row r="224" spans="1:14">
      <c r="A224" s="107">
        <v>92</v>
      </c>
      <c r="B224" s="182" t="s">
        <v>244</v>
      </c>
      <c r="C224" s="107" t="s">
        <v>54</v>
      </c>
      <c r="D224" s="116" t="s">
        <v>175</v>
      </c>
      <c r="E224" s="182" t="s">
        <v>443</v>
      </c>
      <c r="F224" s="186" t="s">
        <v>90</v>
      </c>
      <c r="G224" s="102" t="s">
        <v>51</v>
      </c>
      <c r="H224" s="108">
        <v>244555</v>
      </c>
      <c r="I224" s="182" t="s">
        <v>444</v>
      </c>
      <c r="J224" s="102" t="s">
        <v>81</v>
      </c>
      <c r="K224" s="109" t="s">
        <v>68</v>
      </c>
      <c r="L224" s="108">
        <v>244556</v>
      </c>
      <c r="M224" s="102">
        <v>4</v>
      </c>
      <c r="N224" s="102">
        <v>4</v>
      </c>
    </row>
    <row r="225" spans="1:15">
      <c r="A225" s="107">
        <v>93</v>
      </c>
      <c r="B225" s="182" t="s">
        <v>452</v>
      </c>
      <c r="C225" s="107" t="s">
        <v>54</v>
      </c>
      <c r="D225" s="116" t="s">
        <v>173</v>
      </c>
      <c r="E225" s="182" t="s">
        <v>453</v>
      </c>
      <c r="F225" s="186" t="s">
        <v>90</v>
      </c>
      <c r="G225" s="186" t="s">
        <v>52</v>
      </c>
      <c r="H225" s="108">
        <v>244555</v>
      </c>
      <c r="I225" s="182"/>
      <c r="J225" s="102" t="s">
        <v>81</v>
      </c>
      <c r="K225" s="109" t="s">
        <v>70</v>
      </c>
      <c r="L225" s="108"/>
      <c r="M225" s="102"/>
      <c r="N225" s="102"/>
    </row>
    <row r="226" spans="1:15">
      <c r="A226" s="107">
        <v>94</v>
      </c>
      <c r="B226" s="202" t="s">
        <v>372</v>
      </c>
      <c r="C226" s="107" t="s">
        <v>54</v>
      </c>
      <c r="D226" s="191" t="s">
        <v>173</v>
      </c>
      <c r="E226" s="203" t="s">
        <v>433</v>
      </c>
      <c r="F226" s="112">
        <v>15</v>
      </c>
      <c r="G226" s="204" t="s">
        <v>45</v>
      </c>
      <c r="H226" s="108">
        <v>244556</v>
      </c>
      <c r="I226" s="202" t="s">
        <v>434</v>
      </c>
      <c r="J226" s="112" t="s">
        <v>81</v>
      </c>
      <c r="K226" s="109" t="s">
        <v>70</v>
      </c>
      <c r="L226" s="119"/>
      <c r="M226" s="112"/>
      <c r="N226" s="112"/>
    </row>
    <row r="227" spans="1:15">
      <c r="A227" s="107">
        <v>95</v>
      </c>
      <c r="B227" s="202" t="s">
        <v>372</v>
      </c>
      <c r="C227" s="107" t="s">
        <v>54</v>
      </c>
      <c r="D227" s="191" t="s">
        <v>173</v>
      </c>
      <c r="E227" s="206" t="s">
        <v>437</v>
      </c>
      <c r="F227" s="204" t="s">
        <v>90</v>
      </c>
      <c r="G227" s="186" t="s">
        <v>117</v>
      </c>
      <c r="H227" s="108">
        <v>244556</v>
      </c>
      <c r="I227" s="202" t="s">
        <v>436</v>
      </c>
      <c r="J227" s="112" t="s">
        <v>81</v>
      </c>
      <c r="K227" s="84" t="s">
        <v>68</v>
      </c>
      <c r="L227" s="108">
        <v>244556</v>
      </c>
      <c r="M227" s="112">
        <v>4</v>
      </c>
      <c r="N227" s="112">
        <v>4</v>
      </c>
    </row>
    <row r="228" spans="1:15">
      <c r="A228" s="107">
        <v>96</v>
      </c>
      <c r="B228" s="202" t="s">
        <v>372</v>
      </c>
      <c r="C228" s="107" t="s">
        <v>54</v>
      </c>
      <c r="D228" s="191" t="s">
        <v>173</v>
      </c>
      <c r="E228" s="211" t="s">
        <v>438</v>
      </c>
      <c r="F228" s="112">
        <v>15</v>
      </c>
      <c r="G228" s="186" t="s">
        <v>117</v>
      </c>
      <c r="H228" s="108">
        <v>244556</v>
      </c>
      <c r="I228" s="202" t="s">
        <v>373</v>
      </c>
      <c r="J228" s="112" t="s">
        <v>81</v>
      </c>
      <c r="K228" s="109" t="s">
        <v>70</v>
      </c>
      <c r="L228" s="119"/>
      <c r="M228" s="112"/>
      <c r="N228" s="112"/>
    </row>
    <row r="229" spans="1:15">
      <c r="A229" s="107">
        <v>97</v>
      </c>
      <c r="B229" s="202" t="s">
        <v>372</v>
      </c>
      <c r="C229" s="107" t="s">
        <v>54</v>
      </c>
      <c r="D229" s="191" t="s">
        <v>173</v>
      </c>
      <c r="E229" s="203" t="s">
        <v>441</v>
      </c>
      <c r="F229" s="112">
        <v>15</v>
      </c>
      <c r="G229" s="186" t="s">
        <v>53</v>
      </c>
      <c r="H229" s="108">
        <v>244556</v>
      </c>
      <c r="I229" s="202" t="s">
        <v>442</v>
      </c>
      <c r="J229" s="112" t="s">
        <v>81</v>
      </c>
      <c r="K229" s="109" t="s">
        <v>70</v>
      </c>
      <c r="L229" s="119"/>
      <c r="M229" s="112"/>
      <c r="N229" s="112"/>
    </row>
    <row r="230" spans="1:15" ht="31.2" customHeight="1">
      <c r="A230" s="320"/>
      <c r="B230" s="321" t="s">
        <v>165</v>
      </c>
      <c r="C230" s="322"/>
      <c r="D230" s="322"/>
      <c r="E230" s="322"/>
      <c r="F230" s="322"/>
      <c r="G230" s="322"/>
      <c r="H230" s="322"/>
      <c r="I230" s="322"/>
      <c r="J230" s="322"/>
      <c r="K230" s="322"/>
      <c r="L230" s="322"/>
      <c r="M230" s="322"/>
      <c r="N230" s="322"/>
    </row>
    <row r="231" spans="1:15" ht="31.2" customHeight="1">
      <c r="A231" s="320"/>
      <c r="B231" s="323" t="s">
        <v>461</v>
      </c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</row>
    <row r="232" spans="1:15" ht="27.6" customHeight="1">
      <c r="A232" s="230" t="s">
        <v>75</v>
      </c>
      <c r="B232" s="231" t="s">
        <v>215</v>
      </c>
      <c r="C232" s="231" t="s">
        <v>76</v>
      </c>
      <c r="D232" s="231" t="s">
        <v>169</v>
      </c>
      <c r="E232" s="231" t="s">
        <v>170</v>
      </c>
      <c r="F232" s="231" t="s">
        <v>77</v>
      </c>
      <c r="G232" s="231" t="s">
        <v>74</v>
      </c>
      <c r="H232" s="232" t="s">
        <v>171</v>
      </c>
      <c r="I232" s="231" t="s">
        <v>110</v>
      </c>
      <c r="J232" s="233" t="s">
        <v>78</v>
      </c>
      <c r="K232" s="234" t="s">
        <v>172</v>
      </c>
      <c r="L232" s="232" t="s">
        <v>111</v>
      </c>
      <c r="M232" s="235" t="s">
        <v>419</v>
      </c>
      <c r="N232" s="236" t="s">
        <v>363</v>
      </c>
      <c r="O232" s="279" t="s">
        <v>494</v>
      </c>
    </row>
    <row r="233" spans="1:15">
      <c r="A233" s="256">
        <v>1</v>
      </c>
      <c r="B233" s="224" t="s">
        <v>372</v>
      </c>
      <c r="C233" s="221" t="s">
        <v>54</v>
      </c>
      <c r="D233" s="223" t="s">
        <v>173</v>
      </c>
      <c r="E233" s="222" t="s">
        <v>445</v>
      </c>
      <c r="F233" s="225">
        <v>5</v>
      </c>
      <c r="G233" s="226" t="s">
        <v>49</v>
      </c>
      <c r="H233" s="227">
        <v>244557</v>
      </c>
      <c r="I233" s="224" t="s">
        <v>126</v>
      </c>
      <c r="J233" s="225" t="s">
        <v>86</v>
      </c>
      <c r="K233" s="228" t="s">
        <v>3</v>
      </c>
      <c r="L233" s="257"/>
      <c r="M233" s="225"/>
      <c r="N233" s="238">
        <v>1</v>
      </c>
      <c r="O233" s="278"/>
    </row>
    <row r="234" spans="1:15">
      <c r="A234" s="256">
        <v>2</v>
      </c>
      <c r="B234" s="222" t="s">
        <v>335</v>
      </c>
      <c r="C234" s="221" t="s">
        <v>54</v>
      </c>
      <c r="D234" s="223" t="s">
        <v>173</v>
      </c>
      <c r="E234" s="224" t="s">
        <v>446</v>
      </c>
      <c r="F234" s="225">
        <v>6</v>
      </c>
      <c r="G234" s="226" t="s">
        <v>117</v>
      </c>
      <c r="H234" s="227">
        <v>244557</v>
      </c>
      <c r="I234" s="224" t="s">
        <v>447</v>
      </c>
      <c r="J234" s="225" t="s">
        <v>81</v>
      </c>
      <c r="K234" s="228" t="s">
        <v>3</v>
      </c>
      <c r="L234" s="227"/>
      <c r="M234" s="225"/>
      <c r="N234" s="238">
        <v>1</v>
      </c>
      <c r="O234" s="245"/>
    </row>
    <row r="235" spans="1:15">
      <c r="A235" s="256">
        <v>3</v>
      </c>
      <c r="B235" s="213" t="s">
        <v>372</v>
      </c>
      <c r="C235" s="212" t="s">
        <v>54</v>
      </c>
      <c r="D235" s="214" t="s">
        <v>173</v>
      </c>
      <c r="E235" s="215" t="s">
        <v>448</v>
      </c>
      <c r="F235" s="216">
        <v>15</v>
      </c>
      <c r="G235" s="229" t="s">
        <v>53</v>
      </c>
      <c r="H235" s="218">
        <v>244558</v>
      </c>
      <c r="I235" s="213" t="s">
        <v>449</v>
      </c>
      <c r="J235" s="216" t="s">
        <v>81</v>
      </c>
      <c r="K235" s="219" t="s">
        <v>68</v>
      </c>
      <c r="L235" s="218">
        <v>244558</v>
      </c>
      <c r="M235" s="216">
        <v>1</v>
      </c>
      <c r="N235" s="237">
        <v>1</v>
      </c>
      <c r="O235" s="278"/>
    </row>
    <row r="236" spans="1:15">
      <c r="A236" s="256">
        <v>4</v>
      </c>
      <c r="B236" s="224" t="s">
        <v>289</v>
      </c>
      <c r="C236" s="221" t="s">
        <v>54</v>
      </c>
      <c r="D236" s="223" t="s">
        <v>173</v>
      </c>
      <c r="E236" s="222" t="s">
        <v>450</v>
      </c>
      <c r="F236" s="225">
        <v>3</v>
      </c>
      <c r="G236" s="226" t="s">
        <v>52</v>
      </c>
      <c r="H236" s="227">
        <v>244558</v>
      </c>
      <c r="I236" s="224" t="s">
        <v>451</v>
      </c>
      <c r="J236" s="225" t="s">
        <v>86</v>
      </c>
      <c r="K236" s="228" t="s">
        <v>68</v>
      </c>
      <c r="L236" s="227">
        <v>244558</v>
      </c>
      <c r="M236" s="225">
        <v>1</v>
      </c>
      <c r="N236" s="238">
        <v>1</v>
      </c>
      <c r="O236" s="245"/>
    </row>
    <row r="237" spans="1:15">
      <c r="A237" s="256">
        <v>5</v>
      </c>
      <c r="B237" s="213" t="s">
        <v>286</v>
      </c>
      <c r="C237" s="212" t="s">
        <v>54</v>
      </c>
      <c r="D237" s="214" t="s">
        <v>175</v>
      </c>
      <c r="E237" s="215" t="s">
        <v>454</v>
      </c>
      <c r="F237" s="216">
        <v>2</v>
      </c>
      <c r="G237" s="217" t="s">
        <v>52</v>
      </c>
      <c r="H237" s="220"/>
      <c r="I237" s="213" t="s">
        <v>455</v>
      </c>
      <c r="J237" s="216" t="s">
        <v>81</v>
      </c>
      <c r="K237" s="219" t="s">
        <v>68</v>
      </c>
      <c r="L237" s="220">
        <v>244561</v>
      </c>
      <c r="M237" s="216">
        <v>1</v>
      </c>
      <c r="N237" s="237"/>
      <c r="O237" s="278"/>
    </row>
    <row r="238" spans="1:15">
      <c r="A238" s="256">
        <v>6</v>
      </c>
      <c r="B238" s="224" t="s">
        <v>429</v>
      </c>
      <c r="C238" s="221" t="s">
        <v>54</v>
      </c>
      <c r="D238" s="223" t="s">
        <v>173</v>
      </c>
      <c r="E238" s="222" t="s">
        <v>464</v>
      </c>
      <c r="F238" s="225">
        <v>7</v>
      </c>
      <c r="G238" s="226" t="s">
        <v>52</v>
      </c>
      <c r="H238" s="227">
        <v>244558</v>
      </c>
      <c r="I238" s="224" t="s">
        <v>465</v>
      </c>
      <c r="J238" s="225" t="s">
        <v>86</v>
      </c>
      <c r="K238" s="228" t="s">
        <v>68</v>
      </c>
      <c r="L238" s="227">
        <v>244563</v>
      </c>
      <c r="M238" s="225">
        <v>1</v>
      </c>
      <c r="N238" s="238">
        <v>1</v>
      </c>
      <c r="O238" s="245"/>
    </row>
    <row r="239" spans="1:15">
      <c r="A239" s="256">
        <v>7</v>
      </c>
      <c r="B239" s="213" t="s">
        <v>286</v>
      </c>
      <c r="C239" s="212" t="s">
        <v>54</v>
      </c>
      <c r="D239" s="214" t="s">
        <v>175</v>
      </c>
      <c r="E239" s="215" t="s">
        <v>466</v>
      </c>
      <c r="F239" s="216">
        <v>2</v>
      </c>
      <c r="G239" s="229" t="s">
        <v>72</v>
      </c>
      <c r="H239" s="218"/>
      <c r="I239" s="213" t="s">
        <v>455</v>
      </c>
      <c r="J239" s="216" t="s">
        <v>86</v>
      </c>
      <c r="K239" s="219" t="s">
        <v>68</v>
      </c>
      <c r="L239" s="220">
        <v>244561</v>
      </c>
      <c r="M239" s="216">
        <v>1</v>
      </c>
      <c r="N239" s="237"/>
      <c r="O239" s="278"/>
    </row>
    <row r="240" spans="1:15">
      <c r="A240" s="256">
        <v>8</v>
      </c>
      <c r="B240" s="182" t="s">
        <v>229</v>
      </c>
      <c r="C240" s="107" t="s">
        <v>54</v>
      </c>
      <c r="D240" s="116" t="s">
        <v>173</v>
      </c>
      <c r="E240" s="182" t="s">
        <v>422</v>
      </c>
      <c r="F240" s="186" t="s">
        <v>90</v>
      </c>
      <c r="G240" s="186" t="s">
        <v>45</v>
      </c>
      <c r="H240" s="108">
        <v>244550</v>
      </c>
      <c r="I240" s="107"/>
      <c r="J240" s="102" t="s">
        <v>86</v>
      </c>
      <c r="K240" s="109" t="s">
        <v>68</v>
      </c>
      <c r="L240" s="108">
        <v>244558</v>
      </c>
      <c r="M240" s="102">
        <v>1</v>
      </c>
      <c r="N240" s="102"/>
      <c r="O240" s="245"/>
    </row>
    <row r="241" spans="1:15">
      <c r="A241" s="256">
        <v>9</v>
      </c>
      <c r="B241" s="182" t="s">
        <v>234</v>
      </c>
      <c r="C241" s="107" t="s">
        <v>54</v>
      </c>
      <c r="D241" s="116" t="s">
        <v>173</v>
      </c>
      <c r="E241" s="182" t="s">
        <v>423</v>
      </c>
      <c r="F241" s="186" t="s">
        <v>90</v>
      </c>
      <c r="G241" s="102" t="s">
        <v>52</v>
      </c>
      <c r="H241" s="108">
        <v>244551</v>
      </c>
      <c r="I241" s="182" t="s">
        <v>207</v>
      </c>
      <c r="J241" s="102" t="s">
        <v>81</v>
      </c>
      <c r="K241" s="109" t="s">
        <v>68</v>
      </c>
      <c r="L241" s="108">
        <v>244558</v>
      </c>
      <c r="M241" s="102">
        <v>1</v>
      </c>
      <c r="N241" s="102"/>
      <c r="O241" s="278"/>
    </row>
    <row r="242" spans="1:15">
      <c r="A242" s="256">
        <v>10</v>
      </c>
      <c r="B242" s="202" t="s">
        <v>372</v>
      </c>
      <c r="C242" s="107" t="s">
        <v>54</v>
      </c>
      <c r="D242" s="191" t="s">
        <v>173</v>
      </c>
      <c r="E242" s="205" t="s">
        <v>439</v>
      </c>
      <c r="F242" s="102">
        <v>15</v>
      </c>
      <c r="G242" s="186" t="s">
        <v>53</v>
      </c>
      <c r="H242" s="108">
        <v>244556</v>
      </c>
      <c r="I242" s="182" t="s">
        <v>440</v>
      </c>
      <c r="J242" s="102" t="s">
        <v>81</v>
      </c>
      <c r="K242" s="109" t="s">
        <v>68</v>
      </c>
      <c r="L242" s="108">
        <v>244558</v>
      </c>
      <c r="M242" s="102">
        <v>1</v>
      </c>
      <c r="N242" s="102"/>
      <c r="O242" s="245"/>
    </row>
    <row r="243" spans="1:15">
      <c r="A243" s="256">
        <v>11</v>
      </c>
      <c r="B243" s="202" t="s">
        <v>364</v>
      </c>
      <c r="C243" s="203" t="s">
        <v>61</v>
      </c>
      <c r="D243" s="258" t="s">
        <v>175</v>
      </c>
      <c r="E243" s="203" t="s">
        <v>365</v>
      </c>
      <c r="F243" s="259">
        <v>4</v>
      </c>
      <c r="G243" s="204" t="s">
        <v>51</v>
      </c>
      <c r="H243" s="239">
        <v>244531</v>
      </c>
      <c r="I243" s="202" t="s">
        <v>366</v>
      </c>
      <c r="J243" s="259" t="s">
        <v>86</v>
      </c>
      <c r="K243" s="260" t="s">
        <v>68</v>
      </c>
      <c r="L243" s="239">
        <v>25420</v>
      </c>
      <c r="M243" s="259">
        <v>2</v>
      </c>
      <c r="N243" s="261"/>
      <c r="O243" s="278"/>
    </row>
    <row r="244" spans="1:15">
      <c r="A244" s="256">
        <v>12</v>
      </c>
      <c r="B244" s="202" t="s">
        <v>286</v>
      </c>
      <c r="C244" s="221" t="s">
        <v>54</v>
      </c>
      <c r="D244" s="258" t="s">
        <v>175</v>
      </c>
      <c r="E244" s="203" t="s">
        <v>287</v>
      </c>
      <c r="F244" s="259"/>
      <c r="G244" s="186" t="s">
        <v>52</v>
      </c>
      <c r="H244" s="227">
        <v>244505</v>
      </c>
      <c r="I244" s="202" t="s">
        <v>288</v>
      </c>
      <c r="J244" s="259" t="s">
        <v>86</v>
      </c>
      <c r="K244" s="260" t="s">
        <v>3</v>
      </c>
      <c r="L244" s="227"/>
      <c r="M244" s="259"/>
      <c r="N244" s="261"/>
      <c r="O244" s="245"/>
    </row>
    <row r="245" spans="1:15">
      <c r="A245" s="256">
        <v>13</v>
      </c>
      <c r="B245" s="240" t="s">
        <v>299</v>
      </c>
      <c r="C245" s="221" t="s">
        <v>54</v>
      </c>
      <c r="D245" s="241" t="s">
        <v>175</v>
      </c>
      <c r="E245" s="242" t="s">
        <v>300</v>
      </c>
      <c r="F245" s="243" t="s">
        <v>90</v>
      </c>
      <c r="G245" s="186" t="s">
        <v>47</v>
      </c>
      <c r="H245" s="227">
        <v>244511</v>
      </c>
      <c r="I245" s="240" t="s">
        <v>301</v>
      </c>
      <c r="J245" s="243" t="s">
        <v>86</v>
      </c>
      <c r="K245" s="244" t="s">
        <v>3</v>
      </c>
      <c r="L245" s="227"/>
      <c r="M245" s="243"/>
      <c r="N245" s="245"/>
      <c r="O245" s="278"/>
    </row>
    <row r="246" spans="1:15">
      <c r="A246" s="256">
        <v>14</v>
      </c>
      <c r="B246" s="240" t="s">
        <v>286</v>
      </c>
      <c r="C246" s="221" t="s">
        <v>54</v>
      </c>
      <c r="D246" s="241" t="s">
        <v>175</v>
      </c>
      <c r="E246" s="242" t="s">
        <v>302</v>
      </c>
      <c r="F246" s="243" t="s">
        <v>107</v>
      </c>
      <c r="G246" s="186" t="s">
        <v>52</v>
      </c>
      <c r="H246" s="227">
        <v>244512</v>
      </c>
      <c r="I246" s="240" t="s">
        <v>303</v>
      </c>
      <c r="J246" s="243" t="s">
        <v>86</v>
      </c>
      <c r="K246" s="244" t="s">
        <v>3</v>
      </c>
      <c r="L246" s="227"/>
      <c r="M246" s="243"/>
      <c r="N246" s="245"/>
      <c r="O246" s="245"/>
    </row>
    <row r="247" spans="1:15">
      <c r="A247" s="256">
        <v>15</v>
      </c>
      <c r="B247" s="240" t="s">
        <v>286</v>
      </c>
      <c r="C247" s="221" t="s">
        <v>54</v>
      </c>
      <c r="D247" s="241" t="s">
        <v>175</v>
      </c>
      <c r="E247" s="242" t="s">
        <v>304</v>
      </c>
      <c r="F247" s="243" t="s">
        <v>107</v>
      </c>
      <c r="G247" s="186" t="s">
        <v>72</v>
      </c>
      <c r="H247" s="227">
        <v>244512</v>
      </c>
      <c r="I247" s="240" t="s">
        <v>305</v>
      </c>
      <c r="J247" s="243" t="s">
        <v>86</v>
      </c>
      <c r="K247" s="244" t="s">
        <v>3</v>
      </c>
      <c r="L247" s="227"/>
      <c r="M247" s="243"/>
      <c r="N247" s="245"/>
      <c r="O247" s="278"/>
    </row>
    <row r="248" spans="1:15">
      <c r="A248" s="256">
        <v>16</v>
      </c>
      <c r="B248" s="240" t="s">
        <v>234</v>
      </c>
      <c r="C248" s="221" t="s">
        <v>54</v>
      </c>
      <c r="D248" s="241" t="s">
        <v>173</v>
      </c>
      <c r="E248" s="242" t="s">
        <v>306</v>
      </c>
      <c r="F248" s="243" t="s">
        <v>107</v>
      </c>
      <c r="G248" s="186" t="s">
        <v>72</v>
      </c>
      <c r="H248" s="227">
        <v>244512</v>
      </c>
      <c r="I248" s="240" t="s">
        <v>305</v>
      </c>
      <c r="J248" s="243" t="s">
        <v>86</v>
      </c>
      <c r="K248" s="244" t="s">
        <v>3</v>
      </c>
      <c r="L248" s="227"/>
      <c r="M248" s="243"/>
      <c r="N248" s="245"/>
      <c r="O248" s="245"/>
    </row>
    <row r="249" spans="1:15">
      <c r="A249" s="256">
        <v>17</v>
      </c>
      <c r="B249" s="240" t="s">
        <v>234</v>
      </c>
      <c r="C249" s="221" t="s">
        <v>54</v>
      </c>
      <c r="D249" s="241" t="s">
        <v>175</v>
      </c>
      <c r="E249" s="242" t="s">
        <v>294</v>
      </c>
      <c r="F249" s="243">
        <v>15</v>
      </c>
      <c r="G249" s="186" t="s">
        <v>46</v>
      </c>
      <c r="H249" s="227">
        <v>244509</v>
      </c>
      <c r="I249" s="240" t="s">
        <v>462</v>
      </c>
      <c r="J249" s="243" t="s">
        <v>81</v>
      </c>
      <c r="K249" s="244" t="s">
        <v>68</v>
      </c>
      <c r="L249" s="239">
        <v>25427</v>
      </c>
      <c r="M249" s="243">
        <v>3</v>
      </c>
      <c r="N249" s="245"/>
      <c r="O249" s="278"/>
    </row>
    <row r="250" spans="1:15">
      <c r="A250" s="256">
        <v>18</v>
      </c>
      <c r="B250" s="240" t="s">
        <v>323</v>
      </c>
      <c r="C250" s="221" t="s">
        <v>54</v>
      </c>
      <c r="D250" s="241" t="s">
        <v>175</v>
      </c>
      <c r="E250" s="242" t="s">
        <v>324</v>
      </c>
      <c r="F250" s="243">
        <v>15</v>
      </c>
      <c r="G250" s="186" t="s">
        <v>117</v>
      </c>
      <c r="H250" s="227">
        <v>244517</v>
      </c>
      <c r="I250" s="240" t="s">
        <v>325</v>
      </c>
      <c r="J250" s="243" t="s">
        <v>81</v>
      </c>
      <c r="K250" s="244" t="s">
        <v>3</v>
      </c>
      <c r="L250" s="227"/>
      <c r="M250" s="243"/>
      <c r="N250" s="245"/>
      <c r="O250" s="245"/>
    </row>
    <row r="251" spans="1:15">
      <c r="A251" s="256">
        <v>19</v>
      </c>
      <c r="B251" s="240" t="s">
        <v>229</v>
      </c>
      <c r="C251" s="221" t="s">
        <v>54</v>
      </c>
      <c r="D251" s="241" t="s">
        <v>173</v>
      </c>
      <c r="E251" s="242" t="s">
        <v>329</v>
      </c>
      <c r="F251" s="243">
        <v>6</v>
      </c>
      <c r="G251" s="186" t="s">
        <v>46</v>
      </c>
      <c r="H251" s="227">
        <v>244522</v>
      </c>
      <c r="I251" s="240" t="s">
        <v>158</v>
      </c>
      <c r="J251" s="243" t="s">
        <v>81</v>
      </c>
      <c r="K251" s="244" t="s">
        <v>69</v>
      </c>
      <c r="L251" s="227"/>
      <c r="M251" s="243"/>
      <c r="N251" s="245"/>
      <c r="O251" s="278"/>
    </row>
    <row r="252" spans="1:15">
      <c r="A252" s="256">
        <v>20</v>
      </c>
      <c r="B252" s="240" t="s">
        <v>335</v>
      </c>
      <c r="C252" s="203" t="s">
        <v>54</v>
      </c>
      <c r="D252" s="241" t="s">
        <v>173</v>
      </c>
      <c r="E252" s="242" t="s">
        <v>337</v>
      </c>
      <c r="F252" s="243">
        <v>10</v>
      </c>
      <c r="G252" s="204" t="s">
        <v>51</v>
      </c>
      <c r="H252" s="239">
        <v>244524</v>
      </c>
      <c r="I252" s="240"/>
      <c r="J252" s="243" t="s">
        <v>86</v>
      </c>
      <c r="K252" s="244" t="s">
        <v>68</v>
      </c>
      <c r="L252" s="239">
        <v>25427</v>
      </c>
      <c r="M252" s="243">
        <v>3</v>
      </c>
      <c r="N252" s="245"/>
      <c r="O252" s="245"/>
    </row>
    <row r="253" spans="1:15">
      <c r="A253" s="256">
        <v>21</v>
      </c>
      <c r="B253" s="202" t="s">
        <v>114</v>
      </c>
      <c r="C253" s="221" t="s">
        <v>54</v>
      </c>
      <c r="D253" s="258" t="s">
        <v>175</v>
      </c>
      <c r="E253" s="203" t="s">
        <v>157</v>
      </c>
      <c r="F253" s="259">
        <v>9</v>
      </c>
      <c r="G253" s="186" t="s">
        <v>47</v>
      </c>
      <c r="H253" s="227">
        <v>244542</v>
      </c>
      <c r="I253" s="202"/>
      <c r="J253" s="259" t="s">
        <v>81</v>
      </c>
      <c r="K253" s="260" t="s">
        <v>3</v>
      </c>
      <c r="L253" s="227"/>
      <c r="M253" s="259"/>
      <c r="N253" s="261"/>
      <c r="O253" s="278"/>
    </row>
    <row r="254" spans="1:15">
      <c r="A254" s="256">
        <v>22</v>
      </c>
      <c r="B254" s="240" t="s">
        <v>114</v>
      </c>
      <c r="C254" s="221" t="s">
        <v>54</v>
      </c>
      <c r="D254" s="241" t="s">
        <v>175</v>
      </c>
      <c r="E254" s="242" t="s">
        <v>159</v>
      </c>
      <c r="F254" s="243">
        <v>5</v>
      </c>
      <c r="G254" s="186" t="s">
        <v>52</v>
      </c>
      <c r="H254" s="227">
        <v>244542</v>
      </c>
      <c r="I254" s="240"/>
      <c r="J254" s="243" t="s">
        <v>81</v>
      </c>
      <c r="K254" s="244" t="s">
        <v>69</v>
      </c>
      <c r="L254" s="227"/>
      <c r="M254" s="243"/>
      <c r="N254" s="245"/>
      <c r="O254" s="245"/>
    </row>
    <row r="255" spans="1:15">
      <c r="A255" s="256">
        <v>23</v>
      </c>
      <c r="B255" s="240" t="s">
        <v>114</v>
      </c>
      <c r="C255" s="221" t="s">
        <v>54</v>
      </c>
      <c r="D255" s="241" t="s">
        <v>175</v>
      </c>
      <c r="E255" s="242" t="s">
        <v>160</v>
      </c>
      <c r="F255" s="243">
        <v>5</v>
      </c>
      <c r="G255" s="186" t="s">
        <v>51</v>
      </c>
      <c r="H255" s="227">
        <v>244542</v>
      </c>
      <c r="I255" s="240"/>
      <c r="J255" s="243" t="s">
        <v>86</v>
      </c>
      <c r="K255" s="244" t="s">
        <v>68</v>
      </c>
      <c r="L255" s="220">
        <v>244561</v>
      </c>
      <c r="M255" s="243">
        <v>1</v>
      </c>
      <c r="N255" s="245"/>
      <c r="O255" s="278"/>
    </row>
    <row r="256" spans="1:15">
      <c r="A256" s="256">
        <v>24</v>
      </c>
      <c r="B256" s="240" t="s">
        <v>114</v>
      </c>
      <c r="C256" s="221" t="s">
        <v>54</v>
      </c>
      <c r="D256" s="241" t="s">
        <v>175</v>
      </c>
      <c r="E256" s="242" t="s">
        <v>161</v>
      </c>
      <c r="F256" s="243">
        <v>4</v>
      </c>
      <c r="G256" s="186" t="s">
        <v>51</v>
      </c>
      <c r="H256" s="227">
        <v>244542</v>
      </c>
      <c r="I256" s="240"/>
      <c r="J256" s="243" t="s">
        <v>86</v>
      </c>
      <c r="K256" s="244" t="s">
        <v>69</v>
      </c>
      <c r="L256" s="227"/>
      <c r="M256" s="243"/>
      <c r="N256" s="245"/>
      <c r="O256" s="245"/>
    </row>
    <row r="257" spans="1:15">
      <c r="A257" s="256">
        <v>25</v>
      </c>
      <c r="B257" s="240" t="s">
        <v>114</v>
      </c>
      <c r="C257" s="221" t="s">
        <v>120</v>
      </c>
      <c r="D257" s="241" t="s">
        <v>175</v>
      </c>
      <c r="E257" s="242" t="s">
        <v>115</v>
      </c>
      <c r="F257" s="243">
        <v>15</v>
      </c>
      <c r="G257" s="186" t="s">
        <v>49</v>
      </c>
      <c r="H257" s="227">
        <v>244542</v>
      </c>
      <c r="I257" s="240"/>
      <c r="J257" s="243" t="s">
        <v>81</v>
      </c>
      <c r="K257" s="244" t="s">
        <v>3</v>
      </c>
      <c r="L257" s="227"/>
      <c r="M257" s="243"/>
      <c r="N257" s="245"/>
      <c r="O257" s="278"/>
    </row>
    <row r="258" spans="1:15">
      <c r="A258" s="256">
        <v>26</v>
      </c>
      <c r="B258" s="240" t="s">
        <v>114</v>
      </c>
      <c r="C258" s="221" t="s">
        <v>120</v>
      </c>
      <c r="D258" s="241" t="s">
        <v>175</v>
      </c>
      <c r="E258" s="242" t="s">
        <v>116</v>
      </c>
      <c r="F258" s="243">
        <v>6</v>
      </c>
      <c r="G258" s="186" t="s">
        <v>117</v>
      </c>
      <c r="H258" s="227">
        <v>244542</v>
      </c>
      <c r="I258" s="240"/>
      <c r="J258" s="243" t="s">
        <v>81</v>
      </c>
      <c r="K258" s="244" t="s">
        <v>3</v>
      </c>
      <c r="L258" s="227"/>
      <c r="M258" s="243"/>
      <c r="N258" s="245"/>
      <c r="O258" s="245"/>
    </row>
    <row r="259" spans="1:15">
      <c r="A259" s="256">
        <v>27</v>
      </c>
      <c r="B259" s="240" t="s">
        <v>114</v>
      </c>
      <c r="C259" s="203" t="s">
        <v>54</v>
      </c>
      <c r="D259" s="241" t="s">
        <v>175</v>
      </c>
      <c r="E259" s="242" t="s">
        <v>123</v>
      </c>
      <c r="F259" s="243">
        <v>6</v>
      </c>
      <c r="G259" s="204" t="s">
        <v>47</v>
      </c>
      <c r="H259" s="239">
        <v>244542</v>
      </c>
      <c r="I259" s="240"/>
      <c r="J259" s="243" t="s">
        <v>81</v>
      </c>
      <c r="K259" s="244" t="s">
        <v>3</v>
      </c>
      <c r="L259" s="239"/>
      <c r="M259" s="243"/>
      <c r="N259" s="245"/>
      <c r="O259" s="278"/>
    </row>
    <row r="260" spans="1:15">
      <c r="A260" s="256">
        <v>28</v>
      </c>
      <c r="B260" s="202" t="s">
        <v>114</v>
      </c>
      <c r="C260" s="221" t="s">
        <v>54</v>
      </c>
      <c r="D260" s="258" t="s">
        <v>175</v>
      </c>
      <c r="E260" s="203" t="s">
        <v>112</v>
      </c>
      <c r="F260" s="259" t="s">
        <v>90</v>
      </c>
      <c r="G260" s="186" t="s">
        <v>45</v>
      </c>
      <c r="H260" s="227"/>
      <c r="I260" s="202"/>
      <c r="J260" s="259" t="s">
        <v>81</v>
      </c>
      <c r="K260" s="260" t="s">
        <v>69</v>
      </c>
      <c r="L260" s="227"/>
      <c r="M260" s="259"/>
      <c r="N260" s="261"/>
      <c r="O260" s="245"/>
    </row>
    <row r="261" spans="1:15">
      <c r="A261" s="256">
        <v>29</v>
      </c>
      <c r="B261" s="240" t="s">
        <v>114</v>
      </c>
      <c r="C261" s="221" t="s">
        <v>120</v>
      </c>
      <c r="D261" s="241" t="s">
        <v>175</v>
      </c>
      <c r="E261" s="242" t="s">
        <v>118</v>
      </c>
      <c r="F261" s="243">
        <v>15</v>
      </c>
      <c r="G261" s="186" t="s">
        <v>49</v>
      </c>
      <c r="H261" s="227"/>
      <c r="I261" s="240"/>
      <c r="J261" s="243" t="s">
        <v>81</v>
      </c>
      <c r="K261" s="244" t="s">
        <v>3</v>
      </c>
      <c r="L261" s="227"/>
      <c r="M261" s="243"/>
      <c r="N261" s="245"/>
      <c r="O261" s="278"/>
    </row>
    <row r="262" spans="1:15">
      <c r="A262" s="256">
        <v>30</v>
      </c>
      <c r="B262" s="240" t="s">
        <v>114</v>
      </c>
      <c r="C262" s="221" t="s">
        <v>54</v>
      </c>
      <c r="D262" s="241" t="s">
        <v>175</v>
      </c>
      <c r="E262" s="242" t="s">
        <v>121</v>
      </c>
      <c r="F262" s="243" t="s">
        <v>90</v>
      </c>
      <c r="G262" s="186" t="s">
        <v>45</v>
      </c>
      <c r="H262" s="227"/>
      <c r="I262" s="240"/>
      <c r="J262" s="243" t="s">
        <v>81</v>
      </c>
      <c r="K262" s="244" t="s">
        <v>3</v>
      </c>
      <c r="L262" s="227"/>
      <c r="M262" s="243"/>
      <c r="N262" s="245"/>
      <c r="O262" s="245"/>
    </row>
    <row r="263" spans="1:15">
      <c r="A263" s="256">
        <v>31</v>
      </c>
      <c r="B263" s="240" t="s">
        <v>114</v>
      </c>
      <c r="C263" s="221" t="s">
        <v>120</v>
      </c>
      <c r="D263" s="241" t="s">
        <v>175</v>
      </c>
      <c r="E263" s="242" t="s">
        <v>125</v>
      </c>
      <c r="F263" s="243">
        <v>5</v>
      </c>
      <c r="G263" s="186" t="s">
        <v>49</v>
      </c>
      <c r="H263" s="227"/>
      <c r="I263" s="240"/>
      <c r="J263" s="243"/>
      <c r="K263" s="244" t="s">
        <v>3</v>
      </c>
      <c r="L263" s="227"/>
      <c r="M263" s="243"/>
      <c r="N263" s="245"/>
      <c r="O263" s="278"/>
    </row>
    <row r="264" spans="1:15">
      <c r="A264" s="256">
        <v>32</v>
      </c>
      <c r="B264" s="240" t="s">
        <v>114</v>
      </c>
      <c r="C264" s="221" t="s">
        <v>120</v>
      </c>
      <c r="D264" s="241" t="s">
        <v>175</v>
      </c>
      <c r="E264" s="242" t="s">
        <v>127</v>
      </c>
      <c r="F264" s="243">
        <v>6</v>
      </c>
      <c r="G264" s="186" t="s">
        <v>49</v>
      </c>
      <c r="H264" s="227"/>
      <c r="I264" s="240"/>
      <c r="J264" s="243"/>
      <c r="K264" s="244" t="s">
        <v>3</v>
      </c>
      <c r="L264" s="227"/>
      <c r="M264" s="243"/>
      <c r="N264" s="245"/>
      <c r="O264" s="245"/>
    </row>
    <row r="265" spans="1:15">
      <c r="A265" s="256">
        <v>33</v>
      </c>
      <c r="B265" s="240" t="s">
        <v>114</v>
      </c>
      <c r="C265" s="221" t="s">
        <v>54</v>
      </c>
      <c r="D265" s="241" t="s">
        <v>175</v>
      </c>
      <c r="E265" s="242" t="s">
        <v>128</v>
      </c>
      <c r="F265" s="243">
        <v>6</v>
      </c>
      <c r="G265" s="186" t="s">
        <v>45</v>
      </c>
      <c r="H265" s="227"/>
      <c r="I265" s="240"/>
      <c r="J265" s="243"/>
      <c r="K265" s="244" t="s">
        <v>3</v>
      </c>
      <c r="L265" s="227"/>
      <c r="M265" s="243"/>
      <c r="N265" s="245"/>
      <c r="O265" s="278"/>
    </row>
    <row r="266" spans="1:15">
      <c r="A266" s="256">
        <v>34</v>
      </c>
      <c r="B266" s="240" t="s">
        <v>114</v>
      </c>
      <c r="C266" s="221" t="s">
        <v>54</v>
      </c>
      <c r="D266" s="241" t="s">
        <v>175</v>
      </c>
      <c r="E266" s="242" t="s">
        <v>130</v>
      </c>
      <c r="F266" s="243">
        <v>11</v>
      </c>
      <c r="G266" s="186" t="s">
        <v>45</v>
      </c>
      <c r="H266" s="227"/>
      <c r="I266" s="240"/>
      <c r="J266" s="243"/>
      <c r="K266" s="244" t="s">
        <v>3</v>
      </c>
      <c r="L266" s="227"/>
      <c r="M266" s="243"/>
      <c r="N266" s="245"/>
      <c r="O266" s="245"/>
    </row>
    <row r="267" spans="1:15">
      <c r="A267" s="256">
        <v>35</v>
      </c>
      <c r="B267" s="240" t="s">
        <v>114</v>
      </c>
      <c r="C267" s="221" t="s">
        <v>120</v>
      </c>
      <c r="D267" s="241" t="s">
        <v>175</v>
      </c>
      <c r="E267" s="242" t="s">
        <v>132</v>
      </c>
      <c r="F267" s="243">
        <v>6</v>
      </c>
      <c r="G267" s="186" t="s">
        <v>117</v>
      </c>
      <c r="H267" s="227"/>
      <c r="I267" s="240"/>
      <c r="J267" s="243"/>
      <c r="K267" s="244" t="s">
        <v>3</v>
      </c>
      <c r="L267" s="227"/>
      <c r="M267" s="243"/>
      <c r="N267" s="245"/>
      <c r="O267" s="278"/>
    </row>
    <row r="268" spans="1:15">
      <c r="A268" s="256">
        <v>36</v>
      </c>
      <c r="B268" s="240" t="s">
        <v>114</v>
      </c>
      <c r="C268" s="221" t="s">
        <v>120</v>
      </c>
      <c r="D268" s="241" t="s">
        <v>175</v>
      </c>
      <c r="E268" s="242" t="s">
        <v>133</v>
      </c>
      <c r="F268" s="243">
        <v>8</v>
      </c>
      <c r="G268" s="186" t="s">
        <v>117</v>
      </c>
      <c r="H268" s="227"/>
      <c r="I268" s="240"/>
      <c r="J268" s="243"/>
      <c r="K268" s="244" t="s">
        <v>3</v>
      </c>
      <c r="L268" s="227"/>
      <c r="M268" s="243"/>
      <c r="N268" s="245"/>
      <c r="O268" s="245"/>
    </row>
    <row r="269" spans="1:15">
      <c r="A269" s="256">
        <v>37</v>
      </c>
      <c r="B269" s="240" t="s">
        <v>114</v>
      </c>
      <c r="C269" s="221" t="s">
        <v>54</v>
      </c>
      <c r="D269" s="241" t="s">
        <v>175</v>
      </c>
      <c r="E269" s="242" t="s">
        <v>135</v>
      </c>
      <c r="F269" s="243">
        <v>8</v>
      </c>
      <c r="G269" s="186" t="s">
        <v>49</v>
      </c>
      <c r="H269" s="227"/>
      <c r="I269" s="240"/>
      <c r="J269" s="243"/>
      <c r="K269" s="244" t="s">
        <v>3</v>
      </c>
      <c r="L269" s="227"/>
      <c r="M269" s="243"/>
      <c r="N269" s="245"/>
      <c r="O269" s="278"/>
    </row>
    <row r="270" spans="1:15">
      <c r="A270" s="256">
        <v>38</v>
      </c>
      <c r="B270" s="240" t="s">
        <v>114</v>
      </c>
      <c r="C270" s="221" t="s">
        <v>120</v>
      </c>
      <c r="D270" s="241" t="s">
        <v>175</v>
      </c>
      <c r="E270" s="242" t="s">
        <v>139</v>
      </c>
      <c r="F270" s="243">
        <v>15</v>
      </c>
      <c r="G270" s="186" t="s">
        <v>49</v>
      </c>
      <c r="H270" s="227"/>
      <c r="I270" s="240"/>
      <c r="J270" s="243"/>
      <c r="K270" s="244" t="s">
        <v>3</v>
      </c>
      <c r="L270" s="227"/>
      <c r="M270" s="243"/>
      <c r="N270" s="245"/>
      <c r="O270" s="245"/>
    </row>
    <row r="271" spans="1:15">
      <c r="A271" s="256">
        <v>39</v>
      </c>
      <c r="B271" s="240" t="s">
        <v>114</v>
      </c>
      <c r="C271" s="221" t="s">
        <v>54</v>
      </c>
      <c r="D271" s="241" t="s">
        <v>175</v>
      </c>
      <c r="E271" s="242" t="s">
        <v>140</v>
      </c>
      <c r="F271" s="243">
        <v>12</v>
      </c>
      <c r="G271" s="186" t="s">
        <v>49</v>
      </c>
      <c r="H271" s="227"/>
      <c r="I271" s="240"/>
      <c r="J271" s="243"/>
      <c r="K271" s="244" t="s">
        <v>3</v>
      </c>
      <c r="L271" s="227"/>
      <c r="M271" s="243"/>
      <c r="N271" s="245"/>
      <c r="O271" s="278"/>
    </row>
    <row r="272" spans="1:15">
      <c r="A272" s="256">
        <v>40</v>
      </c>
      <c r="B272" s="240" t="s">
        <v>114</v>
      </c>
      <c r="C272" s="221" t="s">
        <v>54</v>
      </c>
      <c r="D272" s="241" t="s">
        <v>175</v>
      </c>
      <c r="E272" s="242" t="s">
        <v>141</v>
      </c>
      <c r="F272" s="243">
        <v>11</v>
      </c>
      <c r="G272" s="186" t="s">
        <v>49</v>
      </c>
      <c r="H272" s="227"/>
      <c r="I272" s="240"/>
      <c r="J272" s="243"/>
      <c r="K272" s="244" t="s">
        <v>3</v>
      </c>
      <c r="L272" s="227"/>
      <c r="M272" s="243"/>
      <c r="N272" s="245"/>
      <c r="O272" s="245"/>
    </row>
    <row r="273" spans="1:15">
      <c r="A273" s="256">
        <v>41</v>
      </c>
      <c r="B273" s="240" t="s">
        <v>114</v>
      </c>
      <c r="C273" s="221" t="s">
        <v>54</v>
      </c>
      <c r="D273" s="241" t="s">
        <v>175</v>
      </c>
      <c r="E273" s="242" t="s">
        <v>142</v>
      </c>
      <c r="F273" s="243">
        <v>10</v>
      </c>
      <c r="G273" s="186" t="s">
        <v>49</v>
      </c>
      <c r="H273" s="227"/>
      <c r="I273" s="240"/>
      <c r="J273" s="243"/>
      <c r="K273" s="244" t="s">
        <v>3</v>
      </c>
      <c r="L273" s="227"/>
      <c r="M273" s="243"/>
      <c r="N273" s="245"/>
      <c r="O273" s="278"/>
    </row>
    <row r="274" spans="1:15">
      <c r="A274" s="256">
        <v>42</v>
      </c>
      <c r="B274" s="240" t="s">
        <v>114</v>
      </c>
      <c r="C274" s="221" t="s">
        <v>54</v>
      </c>
      <c r="D274" s="241" t="s">
        <v>175</v>
      </c>
      <c r="E274" s="242" t="s">
        <v>143</v>
      </c>
      <c r="F274" s="243">
        <v>8</v>
      </c>
      <c r="G274" s="186" t="s">
        <v>49</v>
      </c>
      <c r="H274" s="227"/>
      <c r="I274" s="240"/>
      <c r="J274" s="243"/>
      <c r="K274" s="244" t="s">
        <v>3</v>
      </c>
      <c r="L274" s="227"/>
      <c r="M274" s="243"/>
      <c r="N274" s="245"/>
      <c r="O274" s="245"/>
    </row>
    <row r="275" spans="1:15">
      <c r="A275" s="256">
        <v>43</v>
      </c>
      <c r="B275" s="240" t="s">
        <v>114</v>
      </c>
      <c r="C275" s="221" t="s">
        <v>120</v>
      </c>
      <c r="D275" s="241" t="s">
        <v>175</v>
      </c>
      <c r="E275" s="242" t="s">
        <v>144</v>
      </c>
      <c r="F275" s="243">
        <v>6</v>
      </c>
      <c r="G275" s="186" t="s">
        <v>49</v>
      </c>
      <c r="H275" s="227"/>
      <c r="I275" s="240"/>
      <c r="J275" s="243"/>
      <c r="K275" s="244" t="s">
        <v>3</v>
      </c>
      <c r="L275" s="227"/>
      <c r="M275" s="243"/>
      <c r="N275" s="245"/>
      <c r="O275" s="278"/>
    </row>
    <row r="276" spans="1:15">
      <c r="A276" s="256">
        <v>44</v>
      </c>
      <c r="B276" s="240" t="s">
        <v>114</v>
      </c>
      <c r="C276" s="221" t="s">
        <v>54</v>
      </c>
      <c r="D276" s="241" t="s">
        <v>175</v>
      </c>
      <c r="E276" s="242" t="s">
        <v>149</v>
      </c>
      <c r="F276" s="243" t="s">
        <v>90</v>
      </c>
      <c r="G276" s="186" t="s">
        <v>52</v>
      </c>
      <c r="H276" s="227"/>
      <c r="I276" s="240"/>
      <c r="J276" s="243"/>
      <c r="K276" s="244" t="s">
        <v>69</v>
      </c>
      <c r="L276" s="227"/>
      <c r="M276" s="243"/>
      <c r="N276" s="245"/>
      <c r="O276" s="245"/>
    </row>
    <row r="277" spans="1:15">
      <c r="A277" s="256">
        <v>45</v>
      </c>
      <c r="B277" s="240" t="s">
        <v>114</v>
      </c>
      <c r="C277" s="221" t="s">
        <v>54</v>
      </c>
      <c r="D277" s="241" t="s">
        <v>175</v>
      </c>
      <c r="E277" s="242" t="s">
        <v>150</v>
      </c>
      <c r="F277" s="243" t="s">
        <v>90</v>
      </c>
      <c r="G277" s="186" t="s">
        <v>52</v>
      </c>
      <c r="H277" s="227"/>
      <c r="I277" s="240"/>
      <c r="J277" s="243"/>
      <c r="K277" s="244" t="s">
        <v>69</v>
      </c>
      <c r="L277" s="227"/>
      <c r="M277" s="243"/>
      <c r="N277" s="245"/>
      <c r="O277" s="278"/>
    </row>
    <row r="278" spans="1:15">
      <c r="A278" s="256">
        <v>46</v>
      </c>
      <c r="B278" s="240" t="s">
        <v>114</v>
      </c>
      <c r="C278" s="203" t="s">
        <v>54</v>
      </c>
      <c r="D278" s="241" t="s">
        <v>175</v>
      </c>
      <c r="E278" s="242" t="s">
        <v>151</v>
      </c>
      <c r="F278" s="243" t="s">
        <v>107</v>
      </c>
      <c r="G278" s="204" t="s">
        <v>47</v>
      </c>
      <c r="H278" s="239"/>
      <c r="I278" s="240"/>
      <c r="J278" s="243"/>
      <c r="K278" s="244" t="s">
        <v>69</v>
      </c>
      <c r="L278" s="239"/>
      <c r="M278" s="243"/>
      <c r="N278" s="245"/>
      <c r="O278" s="245"/>
    </row>
    <row r="279" spans="1:15">
      <c r="A279" s="256">
        <v>47</v>
      </c>
      <c r="B279" s="202" t="s">
        <v>114</v>
      </c>
      <c r="C279" s="221" t="s">
        <v>54</v>
      </c>
      <c r="D279" s="258" t="s">
        <v>175</v>
      </c>
      <c r="E279" s="203" t="s">
        <v>155</v>
      </c>
      <c r="F279" s="259" t="s">
        <v>90</v>
      </c>
      <c r="G279" s="186" t="s">
        <v>45</v>
      </c>
      <c r="H279" s="227"/>
      <c r="I279" s="202"/>
      <c r="J279" s="259"/>
      <c r="K279" s="260" t="s">
        <v>3</v>
      </c>
      <c r="L279" s="227"/>
      <c r="M279" s="259"/>
      <c r="N279" s="261"/>
      <c r="O279" s="278"/>
    </row>
    <row r="280" spans="1:15">
      <c r="A280" s="256">
        <v>48</v>
      </c>
      <c r="B280" s="240" t="s">
        <v>114</v>
      </c>
      <c r="C280" s="221" t="s">
        <v>54</v>
      </c>
      <c r="D280" s="241" t="s">
        <v>175</v>
      </c>
      <c r="E280" s="242" t="s">
        <v>162</v>
      </c>
      <c r="F280" s="243" t="s">
        <v>90</v>
      </c>
      <c r="G280" s="186" t="s">
        <v>51</v>
      </c>
      <c r="H280" s="227"/>
      <c r="I280" s="240"/>
      <c r="J280" s="243"/>
      <c r="K280" s="244" t="s">
        <v>69</v>
      </c>
      <c r="L280" s="227"/>
      <c r="M280" s="243"/>
      <c r="N280" s="245"/>
      <c r="O280" s="245"/>
    </row>
    <row r="281" spans="1:15">
      <c r="A281" s="256">
        <v>49</v>
      </c>
      <c r="B281" s="240" t="s">
        <v>114</v>
      </c>
      <c r="C281" s="221" t="s">
        <v>54</v>
      </c>
      <c r="D281" s="241" t="s">
        <v>175</v>
      </c>
      <c r="E281" s="242" t="s">
        <v>91</v>
      </c>
      <c r="F281" s="243" t="s">
        <v>90</v>
      </c>
      <c r="G281" s="186" t="s">
        <v>52</v>
      </c>
      <c r="H281" s="227"/>
      <c r="I281" s="240"/>
      <c r="J281" s="243"/>
      <c r="K281" s="244" t="s">
        <v>3</v>
      </c>
      <c r="L281" s="227"/>
      <c r="M281" s="243"/>
      <c r="N281" s="245"/>
      <c r="O281" s="278"/>
    </row>
    <row r="282" spans="1:15">
      <c r="A282" s="256">
        <v>50</v>
      </c>
      <c r="B282" s="240" t="s">
        <v>114</v>
      </c>
      <c r="C282" s="221" t="s">
        <v>54</v>
      </c>
      <c r="D282" s="241" t="s">
        <v>175</v>
      </c>
      <c r="E282" s="242" t="s">
        <v>98</v>
      </c>
      <c r="F282" s="243">
        <v>3</v>
      </c>
      <c r="G282" s="186" t="s">
        <v>52</v>
      </c>
      <c r="H282" s="227"/>
      <c r="I282" s="240"/>
      <c r="J282" s="243"/>
      <c r="K282" s="244" t="s">
        <v>3</v>
      </c>
      <c r="L282" s="227"/>
      <c r="M282" s="243"/>
      <c r="N282" s="245"/>
      <c r="O282" s="245"/>
    </row>
    <row r="283" spans="1:15">
      <c r="A283" s="256">
        <v>51</v>
      </c>
      <c r="B283" s="240" t="s">
        <v>114</v>
      </c>
      <c r="C283" s="221" t="s">
        <v>54</v>
      </c>
      <c r="D283" s="241" t="s">
        <v>175</v>
      </c>
      <c r="E283" s="242" t="s">
        <v>99</v>
      </c>
      <c r="F283" s="243">
        <v>5</v>
      </c>
      <c r="G283" s="186" t="s">
        <v>117</v>
      </c>
      <c r="H283" s="227"/>
      <c r="I283" s="240"/>
      <c r="J283" s="243"/>
      <c r="K283" s="244" t="s">
        <v>3</v>
      </c>
      <c r="L283" s="227"/>
      <c r="M283" s="243"/>
      <c r="N283" s="245"/>
      <c r="O283" s="278"/>
    </row>
    <row r="284" spans="1:15">
      <c r="A284" s="256">
        <v>52</v>
      </c>
      <c r="B284" s="240" t="s">
        <v>114</v>
      </c>
      <c r="C284" s="221" t="s">
        <v>54</v>
      </c>
      <c r="D284" s="241" t="s">
        <v>175</v>
      </c>
      <c r="E284" s="242" t="s">
        <v>104</v>
      </c>
      <c r="F284" s="243">
        <v>10</v>
      </c>
      <c r="G284" s="186" t="s">
        <v>52</v>
      </c>
      <c r="H284" s="227"/>
      <c r="I284" s="240"/>
      <c r="J284" s="243"/>
      <c r="K284" s="244" t="s">
        <v>3</v>
      </c>
      <c r="L284" s="227"/>
      <c r="M284" s="243"/>
      <c r="N284" s="245"/>
      <c r="O284" s="245"/>
    </row>
    <row r="285" spans="1:15">
      <c r="A285" s="256">
        <v>53</v>
      </c>
      <c r="B285" s="240" t="s">
        <v>114</v>
      </c>
      <c r="C285" s="221" t="s">
        <v>54</v>
      </c>
      <c r="D285" s="241" t="s">
        <v>175</v>
      </c>
      <c r="E285" s="242" t="s">
        <v>108</v>
      </c>
      <c r="F285" s="243" t="s">
        <v>107</v>
      </c>
      <c r="G285" s="186" t="s">
        <v>357</v>
      </c>
      <c r="H285" s="227"/>
      <c r="I285" s="240"/>
      <c r="J285" s="243"/>
      <c r="K285" s="244" t="s">
        <v>3</v>
      </c>
      <c r="L285" s="227"/>
      <c r="M285" s="243"/>
      <c r="N285" s="245"/>
      <c r="O285" s="278"/>
    </row>
    <row r="286" spans="1:15">
      <c r="A286" s="256">
        <v>54</v>
      </c>
      <c r="B286" s="240" t="s">
        <v>114</v>
      </c>
      <c r="C286" s="203" t="s">
        <v>54</v>
      </c>
      <c r="D286" s="241" t="s">
        <v>175</v>
      </c>
      <c r="E286" s="242" t="s">
        <v>109</v>
      </c>
      <c r="F286" s="243">
        <v>14</v>
      </c>
      <c r="G286" s="204" t="s">
        <v>357</v>
      </c>
      <c r="H286" s="239"/>
      <c r="I286" s="240"/>
      <c r="J286" s="243"/>
      <c r="K286" s="244" t="s">
        <v>3</v>
      </c>
      <c r="L286" s="239"/>
      <c r="M286" s="243"/>
      <c r="N286" s="245"/>
      <c r="O286" s="245"/>
    </row>
    <row r="287" spans="1:15">
      <c r="A287" s="256">
        <v>55</v>
      </c>
      <c r="B287" s="202" t="s">
        <v>234</v>
      </c>
      <c r="C287" s="203" t="s">
        <v>54</v>
      </c>
      <c r="D287" s="258" t="s">
        <v>175</v>
      </c>
      <c r="E287" s="203" t="s">
        <v>413</v>
      </c>
      <c r="F287" s="259" t="s">
        <v>90</v>
      </c>
      <c r="G287" s="204" t="s">
        <v>52</v>
      </c>
      <c r="H287" s="239">
        <v>244548</v>
      </c>
      <c r="I287" s="202"/>
      <c r="J287" s="259" t="s">
        <v>81</v>
      </c>
      <c r="K287" s="260" t="s">
        <v>69</v>
      </c>
      <c r="L287" s="239"/>
      <c r="M287" s="259"/>
      <c r="N287" s="261"/>
      <c r="O287" s="278"/>
    </row>
    <row r="288" spans="1:15">
      <c r="A288" s="256">
        <v>56</v>
      </c>
      <c r="B288" s="240" t="s">
        <v>420</v>
      </c>
      <c r="C288" s="221" t="s">
        <v>54</v>
      </c>
      <c r="D288" s="241" t="s">
        <v>173</v>
      </c>
      <c r="E288" s="242" t="s">
        <v>421</v>
      </c>
      <c r="F288" s="243">
        <v>7</v>
      </c>
      <c r="G288" s="186" t="s">
        <v>72</v>
      </c>
      <c r="H288" s="227">
        <v>244550</v>
      </c>
      <c r="I288" s="240"/>
      <c r="J288" s="243" t="s">
        <v>81</v>
      </c>
      <c r="K288" s="244" t="s">
        <v>69</v>
      </c>
      <c r="L288" s="227"/>
      <c r="M288" s="243"/>
      <c r="N288" s="245"/>
      <c r="O288" s="245"/>
    </row>
    <row r="289" spans="1:15">
      <c r="A289" s="256">
        <v>57</v>
      </c>
      <c r="B289" s="240" t="s">
        <v>420</v>
      </c>
      <c r="C289" s="203" t="s">
        <v>120</v>
      </c>
      <c r="D289" s="241" t="s">
        <v>173</v>
      </c>
      <c r="E289" s="242" t="s">
        <v>435</v>
      </c>
      <c r="F289" s="243">
        <v>9</v>
      </c>
      <c r="G289" s="204" t="s">
        <v>49</v>
      </c>
      <c r="H289" s="239">
        <v>244550</v>
      </c>
      <c r="I289" s="240"/>
      <c r="J289" s="243" t="s">
        <v>81</v>
      </c>
      <c r="K289" s="244" t="s">
        <v>3</v>
      </c>
      <c r="L289" s="239"/>
      <c r="M289" s="243"/>
      <c r="N289" s="245"/>
      <c r="O289" s="278"/>
    </row>
    <row r="290" spans="1:15">
      <c r="A290" s="256">
        <v>58</v>
      </c>
      <c r="B290" s="202" t="s">
        <v>229</v>
      </c>
      <c r="C290" s="203" t="s">
        <v>54</v>
      </c>
      <c r="D290" s="258" t="s">
        <v>173</v>
      </c>
      <c r="E290" s="203" t="s">
        <v>426</v>
      </c>
      <c r="F290" s="259">
        <v>4</v>
      </c>
      <c r="G290" s="204" t="s">
        <v>45</v>
      </c>
      <c r="H290" s="239">
        <v>244552</v>
      </c>
      <c r="I290" s="202" t="s">
        <v>427</v>
      </c>
      <c r="J290" s="259" t="s">
        <v>81</v>
      </c>
      <c r="K290" s="260" t="s">
        <v>68</v>
      </c>
      <c r="L290" s="239">
        <v>25420</v>
      </c>
      <c r="M290" s="259">
        <v>2</v>
      </c>
      <c r="N290" s="261"/>
      <c r="O290" s="245"/>
    </row>
    <row r="291" spans="1:15">
      <c r="A291" s="256">
        <v>59</v>
      </c>
      <c r="B291" s="202" t="s">
        <v>429</v>
      </c>
      <c r="C291" s="203" t="s">
        <v>54</v>
      </c>
      <c r="D291" s="258" t="s">
        <v>173</v>
      </c>
      <c r="E291" s="203" t="s">
        <v>430</v>
      </c>
      <c r="F291" s="259"/>
      <c r="G291" s="204" t="s">
        <v>52</v>
      </c>
      <c r="H291" s="239">
        <v>244554</v>
      </c>
      <c r="I291" s="202"/>
      <c r="J291" s="259" t="s">
        <v>86</v>
      </c>
      <c r="K291" s="260" t="s">
        <v>3</v>
      </c>
      <c r="L291" s="239"/>
      <c r="M291" s="259"/>
      <c r="N291" s="261"/>
      <c r="O291" s="278"/>
    </row>
    <row r="292" spans="1:15">
      <c r="A292" s="256">
        <v>60</v>
      </c>
      <c r="B292" s="202" t="s">
        <v>452</v>
      </c>
      <c r="C292" s="221" t="s">
        <v>54</v>
      </c>
      <c r="D292" s="258" t="s">
        <v>173</v>
      </c>
      <c r="E292" s="203" t="s">
        <v>453</v>
      </c>
      <c r="F292" s="259" t="s">
        <v>90</v>
      </c>
      <c r="G292" s="186" t="s">
        <v>52</v>
      </c>
      <c r="H292" s="227">
        <v>244555</v>
      </c>
      <c r="I292" s="202"/>
      <c r="J292" s="259" t="s">
        <v>81</v>
      </c>
      <c r="K292" s="260" t="s">
        <v>69</v>
      </c>
      <c r="L292" s="227"/>
      <c r="M292" s="259"/>
      <c r="N292" s="261"/>
      <c r="O292" s="245"/>
    </row>
    <row r="293" spans="1:15">
      <c r="A293" s="256">
        <v>61</v>
      </c>
      <c r="B293" s="240" t="s">
        <v>372</v>
      </c>
      <c r="C293" s="203" t="s">
        <v>54</v>
      </c>
      <c r="D293" s="241" t="s">
        <v>173</v>
      </c>
      <c r="E293" s="242" t="s">
        <v>433</v>
      </c>
      <c r="F293" s="243">
        <v>15</v>
      </c>
      <c r="G293" s="204" t="s">
        <v>45</v>
      </c>
      <c r="H293" s="239">
        <v>244556</v>
      </c>
      <c r="I293" s="240" t="s">
        <v>434</v>
      </c>
      <c r="J293" s="243" t="s">
        <v>81</v>
      </c>
      <c r="K293" s="244" t="s">
        <v>68</v>
      </c>
      <c r="L293" s="239">
        <v>244561</v>
      </c>
      <c r="M293" s="243">
        <v>1</v>
      </c>
      <c r="N293" s="245"/>
      <c r="O293" s="278"/>
    </row>
    <row r="294" spans="1:15">
      <c r="A294" s="256">
        <v>62</v>
      </c>
      <c r="B294" s="202" t="s">
        <v>372</v>
      </c>
      <c r="C294" s="203" t="s">
        <v>54</v>
      </c>
      <c r="D294" s="258" t="s">
        <v>173</v>
      </c>
      <c r="E294" s="203" t="s">
        <v>438</v>
      </c>
      <c r="F294" s="259">
        <v>15</v>
      </c>
      <c r="G294" s="204" t="s">
        <v>117</v>
      </c>
      <c r="H294" s="239">
        <v>244556</v>
      </c>
      <c r="I294" s="202" t="s">
        <v>373</v>
      </c>
      <c r="J294" s="259" t="s">
        <v>81</v>
      </c>
      <c r="K294" s="260" t="s">
        <v>3</v>
      </c>
      <c r="L294" s="239"/>
      <c r="M294" s="259"/>
      <c r="N294" s="261"/>
      <c r="O294" s="245"/>
    </row>
    <row r="295" spans="1:15">
      <c r="A295" s="256">
        <v>63</v>
      </c>
      <c r="B295" s="202" t="s">
        <v>372</v>
      </c>
      <c r="C295" s="203" t="s">
        <v>54</v>
      </c>
      <c r="D295" s="258" t="s">
        <v>173</v>
      </c>
      <c r="E295" s="203" t="s">
        <v>441</v>
      </c>
      <c r="F295" s="259">
        <v>15</v>
      </c>
      <c r="G295" s="204" t="s">
        <v>53</v>
      </c>
      <c r="H295" s="239">
        <v>244556</v>
      </c>
      <c r="I295" s="202" t="s">
        <v>442</v>
      </c>
      <c r="J295" s="259" t="s">
        <v>81</v>
      </c>
      <c r="K295" s="260" t="s">
        <v>3</v>
      </c>
      <c r="L295" s="239"/>
      <c r="M295" s="259"/>
      <c r="N295" s="261"/>
      <c r="O295" s="278"/>
    </row>
    <row r="296" spans="1:15" s="275" customFormat="1">
      <c r="A296" s="264">
        <v>64</v>
      </c>
      <c r="B296" s="265" t="s">
        <v>244</v>
      </c>
      <c r="C296" s="266" t="s">
        <v>54</v>
      </c>
      <c r="D296" s="267" t="s">
        <v>173</v>
      </c>
      <c r="E296" s="268" t="s">
        <v>467</v>
      </c>
      <c r="F296" s="269" t="s">
        <v>90</v>
      </c>
      <c r="G296" s="270" t="s">
        <v>52</v>
      </c>
      <c r="H296" s="271">
        <v>244560</v>
      </c>
      <c r="I296" s="265" t="s">
        <v>468</v>
      </c>
      <c r="J296" s="269" t="s">
        <v>81</v>
      </c>
      <c r="K296" s="272" t="s">
        <v>68</v>
      </c>
      <c r="L296" s="271">
        <v>244561</v>
      </c>
      <c r="M296" s="273">
        <v>1</v>
      </c>
      <c r="N296" s="274">
        <v>1</v>
      </c>
      <c r="O296" s="245"/>
    </row>
    <row r="297" spans="1:15">
      <c r="A297" s="256">
        <v>65</v>
      </c>
      <c r="B297" s="202" t="s">
        <v>244</v>
      </c>
      <c r="C297" s="203" t="s">
        <v>54</v>
      </c>
      <c r="D297" s="258" t="s">
        <v>173</v>
      </c>
      <c r="E297" s="203" t="s">
        <v>469</v>
      </c>
      <c r="F297" s="259">
        <v>6</v>
      </c>
      <c r="G297" s="204" t="s">
        <v>46</v>
      </c>
      <c r="H297" s="239">
        <v>244560</v>
      </c>
      <c r="I297" s="202" t="s">
        <v>470</v>
      </c>
      <c r="J297" s="259" t="s">
        <v>81</v>
      </c>
      <c r="K297" s="260" t="s">
        <v>3</v>
      </c>
      <c r="L297" s="239"/>
      <c r="M297" s="259"/>
      <c r="N297" s="261">
        <v>1</v>
      </c>
      <c r="O297" s="278"/>
    </row>
    <row r="298" spans="1:15">
      <c r="A298" s="256">
        <v>66</v>
      </c>
      <c r="B298" s="202" t="s">
        <v>105</v>
      </c>
      <c r="C298" s="203" t="s">
        <v>54</v>
      </c>
      <c r="D298" s="258" t="s">
        <v>173</v>
      </c>
      <c r="E298" s="203" t="s">
        <v>471</v>
      </c>
      <c r="F298" s="259">
        <v>14</v>
      </c>
      <c r="G298" s="204" t="s">
        <v>52</v>
      </c>
      <c r="H298" s="239"/>
      <c r="I298" s="202" t="s">
        <v>472</v>
      </c>
      <c r="J298" s="259" t="s">
        <v>81</v>
      </c>
      <c r="K298" s="260" t="s">
        <v>69</v>
      </c>
      <c r="L298" s="239"/>
      <c r="M298" s="259"/>
      <c r="N298" s="261">
        <v>1</v>
      </c>
      <c r="O298" s="245"/>
    </row>
    <row r="299" spans="1:15">
      <c r="A299" s="256">
        <v>67</v>
      </c>
      <c r="B299" s="202" t="s">
        <v>105</v>
      </c>
      <c r="C299" s="203" t="s">
        <v>54</v>
      </c>
      <c r="D299" s="258" t="s">
        <v>173</v>
      </c>
      <c r="E299" s="203" t="s">
        <v>473</v>
      </c>
      <c r="F299" s="259">
        <v>14</v>
      </c>
      <c r="G299" s="204" t="s">
        <v>49</v>
      </c>
      <c r="H299" s="239">
        <v>244564</v>
      </c>
      <c r="I299" s="202"/>
      <c r="J299" s="259" t="s">
        <v>81</v>
      </c>
      <c r="K299" s="260" t="s">
        <v>3</v>
      </c>
      <c r="L299" s="239"/>
      <c r="M299" s="259"/>
      <c r="N299" s="261">
        <v>2</v>
      </c>
      <c r="O299" s="278"/>
    </row>
    <row r="300" spans="1:15">
      <c r="A300" s="256">
        <v>68</v>
      </c>
      <c r="B300" s="182" t="s">
        <v>114</v>
      </c>
      <c r="C300" s="203" t="s">
        <v>54</v>
      </c>
      <c r="D300" s="262" t="s">
        <v>175</v>
      </c>
      <c r="E300" s="221" t="s">
        <v>474</v>
      </c>
      <c r="F300" s="263" t="s">
        <v>90</v>
      </c>
      <c r="G300" s="204" t="s">
        <v>45</v>
      </c>
      <c r="H300" s="227">
        <v>244563</v>
      </c>
      <c r="I300" s="182"/>
      <c r="J300" s="263" t="s">
        <v>86</v>
      </c>
      <c r="K300" s="260" t="s">
        <v>68</v>
      </c>
      <c r="L300" s="227">
        <v>244563</v>
      </c>
      <c r="M300" s="263">
        <v>1</v>
      </c>
      <c r="N300" s="263">
        <v>1</v>
      </c>
      <c r="O300" s="245"/>
    </row>
    <row r="301" spans="1:15">
      <c r="A301" s="256">
        <v>69</v>
      </c>
      <c r="B301" s="250" t="s">
        <v>114</v>
      </c>
      <c r="C301" s="203" t="s">
        <v>54</v>
      </c>
      <c r="D301" s="251" t="s">
        <v>173</v>
      </c>
      <c r="E301" s="252" t="s">
        <v>475</v>
      </c>
      <c r="F301" s="253">
        <v>5</v>
      </c>
      <c r="G301" s="204" t="s">
        <v>51</v>
      </c>
      <c r="H301" s="246"/>
      <c r="I301" s="250"/>
      <c r="J301" s="253" t="s">
        <v>81</v>
      </c>
      <c r="K301" s="260" t="s">
        <v>68</v>
      </c>
      <c r="L301" s="246">
        <v>25419</v>
      </c>
      <c r="M301" s="253">
        <v>1</v>
      </c>
      <c r="N301" s="254">
        <v>1</v>
      </c>
      <c r="O301" s="278"/>
    </row>
    <row r="302" spans="1:15">
      <c r="A302" s="256">
        <v>70</v>
      </c>
      <c r="B302" s="202" t="s">
        <v>114</v>
      </c>
      <c r="C302" s="203" t="s">
        <v>54</v>
      </c>
      <c r="D302" s="258" t="s">
        <v>175</v>
      </c>
      <c r="E302" s="203" t="s">
        <v>476</v>
      </c>
      <c r="F302" s="259">
        <v>6</v>
      </c>
      <c r="G302" s="204" t="s">
        <v>376</v>
      </c>
      <c r="H302" s="239">
        <v>244566</v>
      </c>
      <c r="I302" s="202" t="s">
        <v>164</v>
      </c>
      <c r="J302" s="259" t="s">
        <v>81</v>
      </c>
      <c r="K302" s="260" t="s">
        <v>68</v>
      </c>
      <c r="L302" s="239">
        <v>244565</v>
      </c>
      <c r="M302" s="259">
        <v>1</v>
      </c>
      <c r="N302" s="261">
        <v>2</v>
      </c>
      <c r="O302" s="245"/>
    </row>
    <row r="303" spans="1:15">
      <c r="A303" s="256">
        <v>71</v>
      </c>
      <c r="B303" s="250" t="s">
        <v>244</v>
      </c>
      <c r="C303" s="203" t="s">
        <v>54</v>
      </c>
      <c r="D303" s="251" t="s">
        <v>173</v>
      </c>
      <c r="E303" s="252" t="s">
        <v>477</v>
      </c>
      <c r="F303" s="253">
        <v>9</v>
      </c>
      <c r="G303" s="204" t="s">
        <v>45</v>
      </c>
      <c r="H303" s="246">
        <v>244565</v>
      </c>
      <c r="I303" s="250" t="s">
        <v>124</v>
      </c>
      <c r="J303" s="253" t="s">
        <v>81</v>
      </c>
      <c r="K303" s="260" t="s">
        <v>69</v>
      </c>
      <c r="L303" s="246"/>
      <c r="M303" s="253"/>
      <c r="N303" s="254">
        <v>2</v>
      </c>
      <c r="O303" s="278"/>
    </row>
    <row r="304" spans="1:15">
      <c r="A304" s="256">
        <v>72</v>
      </c>
      <c r="B304" s="202" t="s">
        <v>244</v>
      </c>
      <c r="C304" s="203" t="s">
        <v>54</v>
      </c>
      <c r="D304" s="258" t="s">
        <v>173</v>
      </c>
      <c r="E304" s="203" t="s">
        <v>478</v>
      </c>
      <c r="F304" s="259">
        <v>6</v>
      </c>
      <c r="G304" s="204" t="s">
        <v>53</v>
      </c>
      <c r="H304" s="239">
        <v>244565</v>
      </c>
      <c r="I304" s="202"/>
      <c r="J304" s="259" t="s">
        <v>86</v>
      </c>
      <c r="K304" s="260" t="s">
        <v>69</v>
      </c>
      <c r="L304" s="239"/>
      <c r="M304" s="259"/>
      <c r="N304" s="261">
        <v>2</v>
      </c>
      <c r="O304" s="245"/>
    </row>
    <row r="305" spans="1:15">
      <c r="A305" s="256">
        <v>73</v>
      </c>
      <c r="B305" s="250" t="s">
        <v>289</v>
      </c>
      <c r="C305" s="203" t="s">
        <v>54</v>
      </c>
      <c r="D305" s="251" t="s">
        <v>173</v>
      </c>
      <c r="E305" s="252" t="s">
        <v>479</v>
      </c>
      <c r="F305" s="253">
        <v>5</v>
      </c>
      <c r="G305" s="204" t="s">
        <v>53</v>
      </c>
      <c r="H305" s="246">
        <v>244565</v>
      </c>
      <c r="I305" s="250"/>
      <c r="J305" s="253" t="s">
        <v>81</v>
      </c>
      <c r="K305" s="260" t="s">
        <v>68</v>
      </c>
      <c r="L305" s="239">
        <v>244566</v>
      </c>
      <c r="M305" s="253">
        <v>2</v>
      </c>
      <c r="N305" s="254">
        <v>2</v>
      </c>
      <c r="O305" s="278"/>
    </row>
    <row r="306" spans="1:15">
      <c r="A306" s="256">
        <v>74</v>
      </c>
      <c r="B306" s="202" t="s">
        <v>234</v>
      </c>
      <c r="C306" s="203" t="s">
        <v>54</v>
      </c>
      <c r="D306" s="258" t="s">
        <v>175</v>
      </c>
      <c r="E306" s="203" t="s">
        <v>480</v>
      </c>
      <c r="F306" s="259" t="s">
        <v>90</v>
      </c>
      <c r="G306" s="204" t="s">
        <v>51</v>
      </c>
      <c r="H306" s="239">
        <v>244566</v>
      </c>
      <c r="I306" s="202"/>
      <c r="J306" s="259" t="s">
        <v>86</v>
      </c>
      <c r="K306" s="260" t="s">
        <v>69</v>
      </c>
      <c r="L306" s="239"/>
      <c r="M306" s="259"/>
      <c r="N306" s="261">
        <v>2</v>
      </c>
      <c r="O306" s="245"/>
    </row>
    <row r="307" spans="1:15">
      <c r="A307" s="256">
        <v>75</v>
      </c>
      <c r="B307" s="250" t="s">
        <v>238</v>
      </c>
      <c r="C307" s="203" t="s">
        <v>54</v>
      </c>
      <c r="D307" s="251" t="s">
        <v>175</v>
      </c>
      <c r="E307" s="252" t="s">
        <v>481</v>
      </c>
      <c r="F307" s="253" t="s">
        <v>90</v>
      </c>
      <c r="G307" s="204" t="s">
        <v>48</v>
      </c>
      <c r="H307" s="246">
        <v>244566</v>
      </c>
      <c r="I307" s="250"/>
      <c r="J307" s="253" t="s">
        <v>81</v>
      </c>
      <c r="K307" s="260" t="s">
        <v>69</v>
      </c>
      <c r="L307" s="246"/>
      <c r="M307" s="253"/>
      <c r="N307" s="254">
        <v>2</v>
      </c>
      <c r="O307" s="278"/>
    </row>
    <row r="308" spans="1:15">
      <c r="A308" s="276">
        <v>76</v>
      </c>
      <c r="B308" s="202" t="s">
        <v>244</v>
      </c>
      <c r="C308" s="203" t="s">
        <v>54</v>
      </c>
      <c r="D308" s="258" t="s">
        <v>173</v>
      </c>
      <c r="E308" s="203" t="s">
        <v>482</v>
      </c>
      <c r="F308" s="259">
        <v>6</v>
      </c>
      <c r="G308" s="204" t="s">
        <v>46</v>
      </c>
      <c r="H308" s="239">
        <v>244567</v>
      </c>
      <c r="I308" s="202"/>
      <c r="J308" s="259" t="s">
        <v>81</v>
      </c>
      <c r="K308" s="260" t="s">
        <v>69</v>
      </c>
      <c r="L308" s="239"/>
      <c r="M308" s="259"/>
      <c r="N308" s="261">
        <v>2</v>
      </c>
      <c r="O308" s="245"/>
    </row>
    <row r="309" spans="1:15">
      <c r="A309" s="255">
        <v>77</v>
      </c>
      <c r="B309" s="250" t="s">
        <v>114</v>
      </c>
      <c r="C309" s="203" t="s">
        <v>54</v>
      </c>
      <c r="D309" s="251" t="s">
        <v>175</v>
      </c>
      <c r="E309" s="252" t="s">
        <v>483</v>
      </c>
      <c r="F309" s="253" t="s">
        <v>90</v>
      </c>
      <c r="G309" s="204" t="s">
        <v>47</v>
      </c>
      <c r="H309" s="246">
        <v>244567</v>
      </c>
      <c r="I309" s="250"/>
      <c r="J309" s="253" t="s">
        <v>81</v>
      </c>
      <c r="K309" s="260" t="s">
        <v>69</v>
      </c>
      <c r="L309" s="246"/>
      <c r="M309" s="253"/>
      <c r="N309" s="254">
        <v>2</v>
      </c>
      <c r="O309" s="278"/>
    </row>
    <row r="310" spans="1:15">
      <c r="A310" s="276">
        <v>78</v>
      </c>
      <c r="B310" s="202" t="s">
        <v>103</v>
      </c>
      <c r="C310" s="203" t="s">
        <v>54</v>
      </c>
      <c r="D310" s="258" t="s">
        <v>175</v>
      </c>
      <c r="E310" s="203" t="s">
        <v>484</v>
      </c>
      <c r="F310" s="259">
        <v>6</v>
      </c>
      <c r="G310" s="204" t="s">
        <v>52</v>
      </c>
      <c r="H310" s="239">
        <v>244567</v>
      </c>
      <c r="I310" s="202"/>
      <c r="J310" s="259" t="s">
        <v>81</v>
      </c>
      <c r="K310" s="260" t="s">
        <v>68</v>
      </c>
      <c r="L310" s="239">
        <v>244567</v>
      </c>
      <c r="M310" s="259">
        <v>2</v>
      </c>
      <c r="N310" s="261">
        <v>2</v>
      </c>
      <c r="O310" s="245"/>
    </row>
    <row r="311" spans="1:15">
      <c r="A311" s="255">
        <v>79</v>
      </c>
      <c r="B311" s="250" t="s">
        <v>114</v>
      </c>
      <c r="C311" s="203" t="s">
        <v>54</v>
      </c>
      <c r="D311" s="258" t="s">
        <v>175</v>
      </c>
      <c r="E311" s="252" t="s">
        <v>485</v>
      </c>
      <c r="F311" s="253">
        <v>7</v>
      </c>
      <c r="G311" s="277" t="s">
        <v>72</v>
      </c>
      <c r="H311" s="239">
        <v>244571</v>
      </c>
      <c r="I311" s="250"/>
      <c r="J311" s="259" t="s">
        <v>81</v>
      </c>
      <c r="K311" s="260" t="s">
        <v>68</v>
      </c>
      <c r="L311" s="239">
        <v>244571</v>
      </c>
      <c r="M311" s="253">
        <v>3</v>
      </c>
      <c r="N311" s="254">
        <v>3</v>
      </c>
      <c r="O311" s="278"/>
    </row>
    <row r="312" spans="1:15">
      <c r="A312" s="276">
        <v>80</v>
      </c>
      <c r="B312" s="250" t="s">
        <v>487</v>
      </c>
      <c r="C312" s="203" t="s">
        <v>54</v>
      </c>
      <c r="D312" s="258" t="s">
        <v>175</v>
      </c>
      <c r="E312" s="252" t="s">
        <v>486</v>
      </c>
      <c r="F312" s="253">
        <v>8</v>
      </c>
      <c r="G312" s="277" t="s">
        <v>72</v>
      </c>
      <c r="H312" s="239">
        <v>244571</v>
      </c>
      <c r="I312" s="250"/>
      <c r="J312" s="259" t="s">
        <v>81</v>
      </c>
      <c r="K312" s="260" t="s">
        <v>68</v>
      </c>
      <c r="L312" s="239">
        <v>244571</v>
      </c>
      <c r="M312" s="253">
        <v>3</v>
      </c>
      <c r="N312" s="254">
        <v>3</v>
      </c>
      <c r="O312" s="245"/>
    </row>
    <row r="313" spans="1:15">
      <c r="A313" s="255">
        <v>81</v>
      </c>
      <c r="B313" s="250" t="s">
        <v>56</v>
      </c>
      <c r="C313" s="252" t="s">
        <v>56</v>
      </c>
      <c r="D313" s="251" t="s">
        <v>175</v>
      </c>
      <c r="E313" s="252" t="s">
        <v>488</v>
      </c>
      <c r="F313" s="253">
        <v>15</v>
      </c>
      <c r="G313" s="277" t="s">
        <v>52</v>
      </c>
      <c r="H313" s="239">
        <v>244571</v>
      </c>
      <c r="I313" s="250"/>
      <c r="J313" s="253" t="s">
        <v>81</v>
      </c>
      <c r="K313" s="260" t="s">
        <v>68</v>
      </c>
      <c r="L313" s="239">
        <v>244572</v>
      </c>
      <c r="M313" s="253">
        <v>3</v>
      </c>
      <c r="N313" s="254">
        <v>3</v>
      </c>
      <c r="O313" s="278"/>
    </row>
    <row r="314" spans="1:15">
      <c r="A314" s="276">
        <v>82</v>
      </c>
      <c r="B314" s="250" t="s">
        <v>56</v>
      </c>
      <c r="C314" s="252" t="s">
        <v>56</v>
      </c>
      <c r="D314" s="251" t="s">
        <v>175</v>
      </c>
      <c r="E314" s="252" t="s">
        <v>489</v>
      </c>
      <c r="F314" s="253">
        <v>15</v>
      </c>
      <c r="G314" s="277" t="s">
        <v>46</v>
      </c>
      <c r="H314" s="239">
        <v>244572</v>
      </c>
      <c r="I314" s="250"/>
      <c r="J314" s="253" t="s">
        <v>81</v>
      </c>
      <c r="K314" s="260" t="s">
        <v>68</v>
      </c>
      <c r="L314" s="239">
        <v>244572</v>
      </c>
      <c r="M314" s="253">
        <v>3</v>
      </c>
      <c r="N314" s="254">
        <v>3</v>
      </c>
      <c r="O314" s="245"/>
    </row>
    <row r="315" spans="1:15">
      <c r="A315" s="255">
        <v>83</v>
      </c>
      <c r="B315" s="202" t="s">
        <v>244</v>
      </c>
      <c r="C315" s="203" t="s">
        <v>54</v>
      </c>
      <c r="D315" s="258" t="s">
        <v>173</v>
      </c>
      <c r="E315" s="203" t="s">
        <v>490</v>
      </c>
      <c r="F315" s="259">
        <v>10</v>
      </c>
      <c r="G315" s="204" t="s">
        <v>52</v>
      </c>
      <c r="H315" s="239">
        <v>244574</v>
      </c>
      <c r="I315" s="202" t="s">
        <v>491</v>
      </c>
      <c r="J315" s="253" t="s">
        <v>81</v>
      </c>
      <c r="K315" s="260" t="s">
        <v>68</v>
      </c>
      <c r="L315" s="239">
        <v>244574</v>
      </c>
      <c r="M315" s="259">
        <v>3</v>
      </c>
      <c r="N315" s="261">
        <v>3</v>
      </c>
      <c r="O315" s="278"/>
    </row>
    <row r="316" spans="1:15">
      <c r="A316" s="276">
        <v>84</v>
      </c>
      <c r="B316" s="250" t="s">
        <v>244</v>
      </c>
      <c r="C316" s="252" t="s">
        <v>54</v>
      </c>
      <c r="D316" s="251" t="s">
        <v>175</v>
      </c>
      <c r="E316" s="252" t="s">
        <v>492</v>
      </c>
      <c r="F316" s="253" t="s">
        <v>90</v>
      </c>
      <c r="G316" s="277" t="s">
        <v>45</v>
      </c>
      <c r="H316" s="239">
        <v>244574</v>
      </c>
      <c r="I316" s="250" t="s">
        <v>493</v>
      </c>
      <c r="J316" s="253" t="s">
        <v>86</v>
      </c>
      <c r="K316" s="260" t="s">
        <v>3</v>
      </c>
      <c r="L316" s="246"/>
      <c r="M316" s="253"/>
      <c r="N316" s="254"/>
      <c r="O316" s="245"/>
    </row>
    <row r="317" spans="1:15">
      <c r="A317" s="255">
        <v>85</v>
      </c>
      <c r="B317" s="250" t="s">
        <v>56</v>
      </c>
      <c r="C317" s="280" t="s">
        <v>56</v>
      </c>
      <c r="D317" s="281" t="s">
        <v>175</v>
      </c>
      <c r="E317" s="280" t="s">
        <v>495</v>
      </c>
      <c r="F317" s="282">
        <v>11</v>
      </c>
      <c r="G317" s="277" t="s">
        <v>46</v>
      </c>
      <c r="H317" s="239">
        <v>244574</v>
      </c>
      <c r="I317" s="250" t="s">
        <v>496</v>
      </c>
      <c r="J317" s="282" t="s">
        <v>81</v>
      </c>
      <c r="K317" s="260" t="s">
        <v>68</v>
      </c>
      <c r="L317" s="239">
        <v>244574</v>
      </c>
      <c r="M317" s="282">
        <v>3</v>
      </c>
      <c r="N317" s="283">
        <v>3</v>
      </c>
      <c r="O317" s="283"/>
    </row>
  </sheetData>
  <mergeCells count="17">
    <mergeCell ref="O82:S82"/>
    <mergeCell ref="B1:K1"/>
    <mergeCell ref="B2:K2"/>
    <mergeCell ref="B26:L26"/>
    <mergeCell ref="B27:L27"/>
    <mergeCell ref="O29:S29"/>
    <mergeCell ref="A1:A2"/>
    <mergeCell ref="A26:A27"/>
    <mergeCell ref="A79:A80"/>
    <mergeCell ref="A130:A131"/>
    <mergeCell ref="B79:L79"/>
    <mergeCell ref="B80:L80"/>
    <mergeCell ref="A230:A231"/>
    <mergeCell ref="B230:N230"/>
    <mergeCell ref="B231:N231"/>
    <mergeCell ref="B130:N130"/>
    <mergeCell ref="B131:N131"/>
  </mergeCells>
  <phoneticPr fontId="45" type="noConversion"/>
  <conditionalFormatting sqref="J25">
    <cfRule type="containsText" dxfId="129" priority="48" operator="containsText" text="โอนย้าย">
      <formula>NOT(ISERROR(SEARCH("โอนย้าย",J25)))</formula>
    </cfRule>
    <cfRule type="containsText" dxfId="128" priority="49" operator="containsText" text="กำลังดำเนินการ">
      <formula>NOT(ISERROR(SEARCH("กำลังดำเนินการ",J25)))</formula>
    </cfRule>
    <cfRule type="containsText" dxfId="127" priority="50" operator="containsText" text="รอดำเนินการ">
      <formula>NOT(ISERROR(SEARCH("รอดำเนินการ",J25)))</formula>
    </cfRule>
    <cfRule type="containsText" dxfId="126" priority="51" operator="containsText" text="เรียบร้อย">
      <formula>NOT(ISERROR(SEARCH("เรียบร้อย",J25)))</formula>
    </cfRule>
  </conditionalFormatting>
  <conditionalFormatting sqref="J29">
    <cfRule type="containsText" dxfId="125" priority="44" operator="containsText" text="โอนย้าย">
      <formula>NOT(ISERROR(SEARCH("โอนย้าย",J29)))</formula>
    </cfRule>
  </conditionalFormatting>
  <conditionalFormatting sqref="J31">
    <cfRule type="containsText" dxfId="124" priority="40" operator="containsText" text="โอนย้าย">
      <formula>NOT(ISERROR(SEARCH("โอนย้าย",J31)))</formula>
    </cfRule>
  </conditionalFormatting>
  <conditionalFormatting sqref="J53">
    <cfRule type="containsText" dxfId="123" priority="32" operator="containsText" text="โอนย้าย">
      <formula>NOT(ISERROR(SEARCH("โอนย้าย",J53)))</formula>
    </cfRule>
  </conditionalFormatting>
  <conditionalFormatting sqref="J61">
    <cfRule type="containsText" dxfId="122" priority="24" operator="containsText" text="โอนย้าย">
      <formula>NOT(ISERROR(SEARCH("โอนย้าย",J61)))</formula>
    </cfRule>
  </conditionalFormatting>
  <conditionalFormatting sqref="J67">
    <cfRule type="containsText" dxfId="121" priority="20" operator="containsText" text="โอนย้าย">
      <formula>NOT(ISERROR(SEARCH("โอนย้าย",J67)))</formula>
    </cfRule>
  </conditionalFormatting>
  <conditionalFormatting sqref="J5:J9 K133:K229 K233:K317">
    <cfRule type="containsText" dxfId="120" priority="65" operator="containsText" text="กำลังดำเนินการ">
      <formula>NOT(ISERROR(SEARCH("กำลังดำเนินการ",J5)))</formula>
    </cfRule>
    <cfRule type="containsText" dxfId="119" priority="66" operator="containsText" text="รอดำเนินการ">
      <formula>NOT(ISERROR(SEARCH("รอดำเนินการ",J5)))</formula>
    </cfRule>
    <cfRule type="containsText" dxfId="118" priority="67" operator="containsText" text="เรียบร้อย">
      <formula>NOT(ISERROR(SEARCH("เรียบร้อย",J5)))</formula>
    </cfRule>
  </conditionalFormatting>
  <conditionalFormatting sqref="J10:J11">
    <cfRule type="containsText" dxfId="117" priority="60" operator="containsText" text="โอนย้าย">
      <formula>NOT(ISERROR(SEARCH("โอนย้าย",J10)))</formula>
    </cfRule>
  </conditionalFormatting>
  <conditionalFormatting sqref="J10:J15">
    <cfRule type="containsText" dxfId="116" priority="61" operator="containsText" text="กำลังดำเนินการ">
      <formula>NOT(ISERROR(SEARCH("กำลังดำเนินการ",J10)))</formula>
    </cfRule>
    <cfRule type="containsText" dxfId="115" priority="62" operator="containsText" text="รอดำเนินการ">
      <formula>NOT(ISERROR(SEARCH("รอดำเนินการ",J10)))</formula>
    </cfRule>
    <cfRule type="containsText" dxfId="114" priority="63" operator="containsText" text="เรียบร้อย">
      <formula>NOT(ISERROR(SEARCH("เรียบร้อย",J10)))</formula>
    </cfRule>
  </conditionalFormatting>
  <conditionalFormatting sqref="J16:J17">
    <cfRule type="containsText" dxfId="113" priority="56" operator="containsText" text="โอนย้าย">
      <formula>NOT(ISERROR(SEARCH("โอนย้าย",J16)))</formula>
    </cfRule>
  </conditionalFormatting>
  <conditionalFormatting sqref="J16:J19">
    <cfRule type="containsText" dxfId="112" priority="57" operator="containsText" text="กำลังดำเนินการ">
      <formula>NOT(ISERROR(SEARCH("กำลังดำเนินการ",J16)))</formula>
    </cfRule>
    <cfRule type="containsText" dxfId="111" priority="58" operator="containsText" text="รอดำเนินการ">
      <formula>NOT(ISERROR(SEARCH("รอดำเนินการ",J16)))</formula>
    </cfRule>
    <cfRule type="containsText" dxfId="110" priority="59" operator="containsText" text="เรียบร้อย">
      <formula>NOT(ISERROR(SEARCH("เรียบร้อย",J16)))</formula>
    </cfRule>
  </conditionalFormatting>
  <conditionalFormatting sqref="J20:J22">
    <cfRule type="containsText" dxfId="109" priority="52" operator="containsText" text="โอนย้าย">
      <formula>NOT(ISERROR(SEARCH("โอนย้าย",J20)))</formula>
    </cfRule>
  </conditionalFormatting>
  <conditionalFormatting sqref="J20:J24">
    <cfRule type="containsText" dxfId="108" priority="53" operator="containsText" text="กำลังดำเนินการ">
      <formula>NOT(ISERROR(SEARCH("กำลังดำเนินการ",J20)))</formula>
    </cfRule>
    <cfRule type="containsText" dxfId="107" priority="54" operator="containsText" text="รอดำเนินการ">
      <formula>NOT(ISERROR(SEARCH("รอดำเนินการ",J20)))</formula>
    </cfRule>
    <cfRule type="containsText" dxfId="106" priority="55" operator="containsText" text="เรียบร้อย">
      <formula>NOT(ISERROR(SEARCH("เรียบร้อย",J20)))</formula>
    </cfRule>
  </conditionalFormatting>
  <conditionalFormatting sqref="J28:J30">
    <cfRule type="containsText" dxfId="105" priority="45" operator="containsText" text="กำลังดำเนินการ">
      <formula>NOT(ISERROR(SEARCH("กำลังดำเนินการ",J28)))</formula>
    </cfRule>
    <cfRule type="containsText" dxfId="104" priority="46" operator="containsText" text="รอดำเนินการ">
      <formula>NOT(ISERROR(SEARCH("รอดำเนินการ",J28)))</formula>
    </cfRule>
    <cfRule type="containsText" dxfId="103" priority="47" operator="containsText" text="เรียบร้อย">
      <formula>NOT(ISERROR(SEARCH("เรียบร้อย",J28)))</formula>
    </cfRule>
  </conditionalFormatting>
  <conditionalFormatting sqref="J31:J36">
    <cfRule type="containsText" dxfId="102" priority="41" operator="containsText" text="กำลังดำเนินการ">
      <formula>NOT(ISERROR(SEARCH("กำลังดำเนินการ",J31)))</formula>
    </cfRule>
    <cfRule type="containsText" dxfId="101" priority="42" operator="containsText" text="รอดำเนินการ">
      <formula>NOT(ISERROR(SEARCH("รอดำเนินการ",J31)))</formula>
    </cfRule>
    <cfRule type="containsText" dxfId="100" priority="43" operator="containsText" text="เรียบร้อย">
      <formula>NOT(ISERROR(SEARCH("เรียบร้อย",J31)))</formula>
    </cfRule>
  </conditionalFormatting>
  <conditionalFormatting sqref="J37:J39">
    <cfRule type="containsText" dxfId="99" priority="36" operator="containsText" text="โอนย้าย">
      <formula>NOT(ISERROR(SEARCH("โอนย้าย",J37)))</formula>
    </cfRule>
  </conditionalFormatting>
  <conditionalFormatting sqref="J37:J52">
    <cfRule type="containsText" dxfId="98" priority="37" operator="containsText" text="กำลังดำเนินการ">
      <formula>NOT(ISERROR(SEARCH("กำลังดำเนินการ",J37)))</formula>
    </cfRule>
    <cfRule type="containsText" dxfId="97" priority="38" operator="containsText" text="รอดำเนินการ">
      <formula>NOT(ISERROR(SEARCH("รอดำเนินการ",J37)))</formula>
    </cfRule>
    <cfRule type="containsText" dxfId="96" priority="39" operator="containsText" text="เรียบร้อย">
      <formula>NOT(ISERROR(SEARCH("เรียบร้อย",J37)))</formula>
    </cfRule>
  </conditionalFormatting>
  <conditionalFormatting sqref="J53:J56">
    <cfRule type="containsText" dxfId="95" priority="33" operator="containsText" text="กำลังดำเนินการ">
      <formula>NOT(ISERROR(SEARCH("กำลังดำเนินการ",J53)))</formula>
    </cfRule>
    <cfRule type="containsText" dxfId="94" priority="34" operator="containsText" text="รอดำเนินการ">
      <formula>NOT(ISERROR(SEARCH("รอดำเนินการ",J53)))</formula>
    </cfRule>
    <cfRule type="containsText" dxfId="93" priority="35" operator="containsText" text="เรียบร้อย">
      <formula>NOT(ISERROR(SEARCH("เรียบร้อย",J53)))</formula>
    </cfRule>
  </conditionalFormatting>
  <conditionalFormatting sqref="J57:J58">
    <cfRule type="containsText" dxfId="92" priority="28" operator="containsText" text="โอนย้าย">
      <formula>NOT(ISERROR(SEARCH("โอนย้าย",J57)))</formula>
    </cfRule>
  </conditionalFormatting>
  <conditionalFormatting sqref="J57:J60">
    <cfRule type="containsText" dxfId="91" priority="29" operator="containsText" text="กำลังดำเนินการ">
      <formula>NOT(ISERROR(SEARCH("กำลังดำเนินการ",J57)))</formula>
    </cfRule>
    <cfRule type="containsText" dxfId="90" priority="30" operator="containsText" text="รอดำเนินการ">
      <formula>NOT(ISERROR(SEARCH("รอดำเนินการ",J57)))</formula>
    </cfRule>
    <cfRule type="containsText" dxfId="89" priority="31" operator="containsText" text="เรียบร้อย">
      <formula>NOT(ISERROR(SEARCH("เรียบร้อย",J57)))</formula>
    </cfRule>
  </conditionalFormatting>
  <conditionalFormatting sqref="J61:J66">
    <cfRule type="containsText" dxfId="88" priority="25" operator="containsText" text="กำลังดำเนินการ">
      <formula>NOT(ISERROR(SEARCH("กำลังดำเนินการ",J61)))</formula>
    </cfRule>
    <cfRule type="containsText" dxfId="87" priority="26" operator="containsText" text="รอดำเนินการ">
      <formula>NOT(ISERROR(SEARCH("รอดำเนินการ",J61)))</formula>
    </cfRule>
    <cfRule type="containsText" dxfId="86" priority="27" operator="containsText" text="เรียบร้อย">
      <formula>NOT(ISERROR(SEARCH("เรียบร้อย",J61)))</formula>
    </cfRule>
  </conditionalFormatting>
  <conditionalFormatting sqref="J67:J70">
    <cfRule type="containsText" dxfId="85" priority="21" operator="containsText" text="กำลังดำเนินการ">
      <formula>NOT(ISERROR(SEARCH("กำลังดำเนินการ",J67)))</formula>
    </cfRule>
    <cfRule type="containsText" dxfId="84" priority="22" operator="containsText" text="รอดำเนินการ">
      <formula>NOT(ISERROR(SEARCH("รอดำเนินการ",J67)))</formula>
    </cfRule>
    <cfRule type="containsText" dxfId="83" priority="23" operator="containsText" text="เรียบร้อย">
      <formula>NOT(ISERROR(SEARCH("เรียบร้อย",J67)))</formula>
    </cfRule>
  </conditionalFormatting>
  <conditionalFormatting sqref="J82:J129">
    <cfRule type="containsText" dxfId="82" priority="10" operator="containsText" text="โอนย้าย">
      <formula>NOT(ISERROR(SEARCH("โอนย้าย",J82)))</formula>
    </cfRule>
  </conditionalFormatting>
  <conditionalFormatting sqref="J103:J107">
    <cfRule type="containsText" dxfId="81" priority="17" operator="containsText" text="กำลังดำเนินการ">
      <formula>NOT(ISERROR(SEARCH("กำลังดำเนินการ",J103)))</formula>
    </cfRule>
    <cfRule type="containsText" dxfId="80" priority="18" operator="containsText" text="รอดำเนินการ">
      <formula>NOT(ISERROR(SEARCH("รอดำเนินการ",J103)))</formula>
    </cfRule>
    <cfRule type="containsText" dxfId="79" priority="19" operator="containsText" text="เรียบร้อย">
      <formula>NOT(ISERROR(SEARCH("เรียบร้อย",J103)))</formula>
    </cfRule>
  </conditionalFormatting>
  <conditionalFormatting sqref="J1:J4 J71:J78">
    <cfRule type="containsText" dxfId="78" priority="72" operator="containsText" text="รอดำเนินการ">
      <formula>NOT(ISERROR(SEARCH("รอดำเนินการ",J1)))</formula>
    </cfRule>
    <cfRule type="containsText" dxfId="77" priority="73" operator="containsText" text="เรียบร้อย">
      <formula>NOT(ISERROR(SEARCH("เรียบร้อย",J1)))</formula>
    </cfRule>
  </conditionalFormatting>
  <conditionalFormatting sqref="J71:J78 J1:J4">
    <cfRule type="containsText" dxfId="76" priority="71" operator="containsText" text="กำลังดำเนินการ">
      <formula>NOT(ISERROR(SEARCH("กำลังดำเนินการ",J1)))</formula>
    </cfRule>
  </conditionalFormatting>
  <conditionalFormatting sqref="J70:J78 J5:J7">
    <cfRule type="containsText" dxfId="75" priority="64" operator="containsText" text="โอนย้าย">
      <formula>NOT(ISERROR(SEARCH("โอนย้าย",J5)))</formula>
    </cfRule>
  </conditionalFormatting>
  <conditionalFormatting sqref="J81:J102 J108:J129">
    <cfRule type="containsText" dxfId="74" priority="68" operator="containsText" text="กำลังดำเนินการ">
      <formula>NOT(ISERROR(SEARCH("กำลังดำเนินการ",J81)))</formula>
    </cfRule>
    <cfRule type="containsText" dxfId="73" priority="69" operator="containsText" text="รอดำเนินการ">
      <formula>NOT(ISERROR(SEARCH("รอดำเนินการ",J81)))</formula>
    </cfRule>
    <cfRule type="containsText" dxfId="72" priority="70" operator="containsText" text="เรียบร้อย">
      <formula>NOT(ISERROR(SEARCH("เรียบร้อย",J81)))</formula>
    </cfRule>
  </conditionalFormatting>
  <conditionalFormatting sqref="J133:J229 J233:J317">
    <cfRule type="containsText" dxfId="71" priority="8" operator="containsText" text="ไม่เร่งด่วน">
      <formula>NOT(ISERROR(SEARCH("ไม่เร่งด่วน",J133)))</formula>
    </cfRule>
    <cfRule type="containsText" dxfId="70" priority="9" operator="containsText" text="เร่งด่วน">
      <formula>NOT(ISERROR(SEARCH("เร่งด่วน",J133)))</formula>
    </cfRule>
  </conditionalFormatting>
  <conditionalFormatting sqref="K133:K229">
    <cfRule type="containsText" dxfId="69" priority="2" operator="containsText" text="โอนย้าย">
      <formula>NOT(ISERROR(SEARCH("โอนย้าย",K133)))</formula>
    </cfRule>
  </conditionalFormatting>
  <conditionalFormatting sqref="K240:K242">
    <cfRule type="containsText" dxfId="68" priority="1" operator="containsText" text="โอนย้าย">
      <formula>NOT(ISERROR(SEARCH("โอนย้าย",K240)))</formula>
    </cfRule>
  </conditionalFormatting>
  <dataValidations count="16">
    <dataValidation type="list" allowBlank="1" showInputMessage="1" showErrorMessage="1" sqref="J4 J30 J8:J9 J12:J15 J18:J19 J23:J24 J32:J36 J40:J52 J54:J56 J59:J60 J62:J66 J68:J69 K233:K239" xr:uid="{00000000-0002-0000-0500-000000000000}">
      <formula1>"เรียบร้อย, กำลังดำเนินการ, รอดำเนินการ"</formula1>
    </dataValidation>
    <dataValidation type="list" allowBlank="1" showInputMessage="1" showErrorMessage="1" sqref="J25 J29 J31 J53 J61 J67 J5:J7 J10:J11 J16:J17 J20:J22 J37:J39 J57:J58 J70:J78 K133:K229 K240:K317" xr:uid="{00000000-0002-0000-0500-000001000000}">
      <formula1>"เรียบร้อย, กำลังดำเนินการ, รอดำเนินการ, โอนย้าย"</formula1>
    </dataValidation>
    <dataValidation type="list" allowBlank="1" showInputMessage="1" showErrorMessage="1" sqref="G41" xr:uid="{00000000-0002-0000-0500-000002000000}">
      <formula1>"ไฟฟ้า,ประปา,ประตู,สุขภัณฑ์,ขอบคิ้ว,เก้าอี้,ม่าน,ระบบแอร์,อุปกรณ์,ขอบคิ้ว"</formula1>
    </dataValidation>
    <dataValidation type="date" allowBlank="1" showInputMessage="1" showErrorMessage="1" sqref="K87 K89 K101 H1:H25 H28:H78 H81:H128 K70:K72 K75:K78 K120:K126 L170 L212:L214 L197 L221 L223:L225 L227 L234:L236 L292 L240:L242 H132:H229 L218:L219 L305 L310:L314 H232:H1048576 L317" xr:uid="{00000000-0002-0000-0500-000003000000}">
      <formula1>244350</formula1>
      <formula2>244714</formula2>
    </dataValidation>
    <dataValidation type="list" allowBlank="1" showInputMessage="1" showErrorMessage="1" sqref="C144 C158 C233:C242 C166:C229 C257:C312" xr:uid="{00000000-0002-0000-0500-000004000000}">
      <formula1>"อาคาร/รีเซป,ตรวจสอบ,บัญชี,ธุรการ/การตลาด,การเงิน,จัดซื้อ,ไอทีซัพพอร์ต,โปรแกรมเมอร์,หนี้สิน,เลขา,บุคคล,compliance,แม่บ้าน,ผู้รับเหมา"</formula1>
    </dataValidation>
    <dataValidation type="list" allowBlank="1" showInputMessage="1" showErrorMessage="1" sqref="C4:C25" xr:uid="{00000000-0002-0000-0500-000005000000}">
      <formula1>"อาคาร/รีเซป,ตรวจสอบ,บัญชี,ธุรการ,IT,แม่บ้าน"</formula1>
    </dataValidation>
    <dataValidation type="list" allowBlank="1" showInputMessage="1" showErrorMessage="1" sqref="C29:C78 C82:C129 C133:C143 C145:C157 C159:C165 C243:C256" xr:uid="{00000000-0002-0000-0500-000006000000}">
      <formula1>"อาคาร/รีเซป,ตรวจสอบ,บัญชี,ธุรการ/การตลาด,การเงิน,จัดซื้อ,ไอทีซัพพอร์ต,โปรแกรมเมอร์,หนี้สิน,เลขา,บุคคล,compliance,แม่บ้าน,"</formula1>
    </dataValidation>
    <dataValidation type="list" allowBlank="1" showInputMessage="1" showErrorMessage="1" sqref="D29:D69 D76:D78 D82:D129 D133:D229 D233:D317" xr:uid="{00000000-0002-0000-0500-000008000000}">
      <formula1>"Line,OA,ส่วนตัว"</formula1>
    </dataValidation>
    <dataValidation type="list" allowBlank="1" showInputMessage="1" showErrorMessage="1" sqref="F29:F69 F75:F78 F82:F129 F133:F175 F243:F264" xr:uid="{00000000-0002-0000-0500-000009000000}">
      <formula1>"G,2,3,4,5,6,7,8,9,10,11,12,14,15,Roof,หลังบริษัท"</formula1>
    </dataValidation>
    <dataValidation type="list" allowBlank="1" showInputMessage="1" showErrorMessage="1" sqref="G4:G25 G29:G40 G42:G78" xr:uid="{00000000-0002-0000-0500-00000A000000}">
      <formula1>"ไฟฟ้า,ประปา,ประตู,สุขภัณฑ์,ขอบคิ้ว,เก้าอี้,ม่าน,ระบบแอร์,อุปกรณ์"</formula1>
    </dataValidation>
    <dataValidation type="list" allowBlank="1" showInputMessage="1" showErrorMessage="1" sqref="G133:G143 G243:G252" xr:uid="{00000000-0002-0000-0500-00000B000000}">
      <formula1>"ไฟฟ้า,ประปา,ประตู,สุขภัณฑ์,ขอบคิ้ว,เก้าอี้,ม่าน,ระบบแอร์,อุปกรณ์, งานPM, งานอีเว้น, งานเบ็ดเตล็ด"</formula1>
    </dataValidation>
    <dataValidation type="list" allowBlank="1" showInputMessage="1" showErrorMessage="1" sqref="G144" xr:uid="{00000000-0002-0000-0500-00000C000000}">
      <formula1>"ไฟฟ้า,ประปา,ประตู,สุขภัณฑ์,ขอบคิ้ว,เก้าอี้,ม่าน,ระบบแอร์,อุปกรณ์, งานPM, งานอีเว้น, งานเบ็ดเตล็ด,อื่นๆ,ฝ้า"</formula1>
    </dataValidation>
    <dataValidation type="list" allowBlank="1" showInputMessage="1" showErrorMessage="1" sqref="J82:J129" xr:uid="{00000000-0002-0000-0500-00000D000000}">
      <formula1>"เรียบร้อย, กำลังดำเนินการ, รอดำเนินการม,โอนย้าย"</formula1>
    </dataValidation>
    <dataValidation type="list" allowBlank="1" showInputMessage="1" showErrorMessage="1" sqref="G145:G218 G220:G225 G235 G240:G242 G227:G229 G253:G292 G294:G309" xr:uid="{C29A1715-FD16-4FEE-8E54-F29A4C3CDC12}">
      <formula1>"ไฟฟ้า,ประปา,ประตู,สุขภัณฑ์,ขอบคิ้ว,เก้าอี้,ม่าน,ระบบแอร์,อุปกรณ์, งานPM, งานอีเว้น, งานเบ็ดเตล็ด,อื่นๆ,ฝ้า,PM-MT"</formula1>
    </dataValidation>
    <dataValidation type="list" allowBlank="1" showInputMessage="1" showErrorMessage="1" sqref="G82:G129" xr:uid="{45F4BEF8-22EF-45A2-8876-69FD3BD086CB}">
      <formula1>"ไฟฟ้า,ประปา,ประตู,สุขภัณฑ์,ขอบคิ้ว,เก้าอี้,ม่าน,ระบบแอร์,อุปกรณ์, อื่นๆ"</formula1>
    </dataValidation>
    <dataValidation type="list" allowBlank="1" showInputMessage="1" showErrorMessage="1" sqref="J133:J229 J233:J317" xr:uid="{282FA48B-EC39-416A-B460-1CA8697F5A4D}">
      <formula1>"เร่งด่วน, ไม่เร่งด่วน"</formula1>
    </dataValidation>
  </dataValidations>
  <pageMargins left="0.7" right="0.7" top="0.75" bottom="0.75" header="0.3" footer="0.3"/>
  <pageSetup paperSize="9" orientation="portrait" r:id="rId1"/>
  <ignoredErrors>
    <ignoredError sqref="G141" listDataValidation="1"/>
  </ignoredErrors>
  <drawing r:id="rId2"/>
  <tableParts count="5"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8C0E2-3614-4780-910F-445A20163F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📈อัปเดตงานรายเดือน</vt:lpstr>
      <vt:lpstr>📊วิเคราะห์งานรายเดือน</vt:lpstr>
      <vt:lpstr>🔧รายการงานซ่อมทั้งหมด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นนทวัฒน์ ทองเอี่ยม</dc:creator>
  <cp:lastModifiedBy>YOUR BRO!!!!!</cp:lastModifiedBy>
  <cp:lastPrinted>2026-07-29T14:56:39Z</cp:lastPrinted>
  <dcterms:created xsi:type="dcterms:W3CDTF">2026-03-26T05:38:00Z</dcterms:created>
  <dcterms:modified xsi:type="dcterms:W3CDTF">2026-08-19T17:44:31Z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1920E67F9EC94332AA91F77D4D41CED7_12</vt:lpwstr>
  </property>
  <property fmtid="{D5CDD505-2E9C-101B-9397-08002B2CF9AE}" pid="3" name="KSOProductBuildVer">
    <vt:lpwstr>1054-12.1.0.26880</vt:lpwstr>
  </property>
  <property fmtid="{D5CDD505-2E9C-101B-9397-08002B2CF9AE}" pid="4" name="CalculationRule">
    <vt:i4>0</vt:i4>
  </property>
</Properties>
</file>